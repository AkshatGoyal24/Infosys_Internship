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Demo Dataset " sheetId="1" r:id="rId5"/>
    <sheet state="visible" name="Demo Dataset v3" sheetId="2" r:id="rId6"/>
    <sheet state="visible" name="Demo Dataset v2" sheetId="3" r:id="rId7"/>
    <sheet state="visible" name="Demo Dataset" sheetId="4" r:id="rId8"/>
    <sheet state="visible" name="ChatGPT" sheetId="5" r:id="rId9"/>
    <sheet state="visible" name="Gemini" sheetId="6" r:id="rId10"/>
    <sheet state="visible" name="Perplexity" sheetId="7" r:id="rId11"/>
    <sheet state="visible" name="Claude" sheetId="8" r:id="rId12"/>
    <sheet state="visible" name="Consolidated" sheetId="9" r:id="rId13"/>
  </sheets>
  <definedNames/>
  <calcPr/>
</workbook>
</file>

<file path=xl/sharedStrings.xml><?xml version="1.0" encoding="utf-8"?>
<sst xmlns="http://schemas.openxmlformats.org/spreadsheetml/2006/main" count="2620" uniqueCount="796">
  <si>
    <t>Final Alert Structure</t>
  </si>
  <si>
    <t>Client Priority Score Framework</t>
  </si>
  <si>
    <t xml:space="preserve"> (Arbitrary Numbers/Adjustable Weights)</t>
  </si>
  <si>
    <t>Component 1: Drift Severity</t>
  </si>
  <si>
    <t>Component 2: Persistence</t>
  </si>
  <si>
    <t>Component 3: Velocity</t>
  </si>
  <si>
    <t>Component 4: Money Impact</t>
  </si>
  <si>
    <t>Component 5: Concentration</t>
  </si>
  <si>
    <t>Priority Score Range</t>
  </si>
  <si>
    <t>Alert Status</t>
  </si>
  <si>
    <t>Component</t>
  </si>
  <si>
    <t>Weight</t>
  </si>
  <si>
    <t>Description</t>
  </si>
  <si>
    <t>Drift Severity Score</t>
  </si>
  <si>
    <t>Days Outside Threshold</t>
  </si>
  <si>
    <t>Score</t>
  </si>
  <si>
    <t>Drift Increase (30 Days)</t>
  </si>
  <si>
    <t>Dollar Drift Estimate</t>
  </si>
  <si>
    <t>Largest Asset-Class Exposure</t>
  </si>
  <si>
    <t>0-39</t>
  </si>
  <si>
    <t>Normal</t>
  </si>
  <si>
    <t>Drift Severity</t>
  </si>
  <si>
    <t>Overall portfolio drift relative to client tolerance</t>
  </si>
  <si>
    <t>0.00-0.25</t>
  </si>
  <si>
    <t>Minimal drift from target allocation</t>
  </si>
  <si>
    <t>0-7</t>
  </si>
  <si>
    <t>0-1%</t>
  </si>
  <si>
    <t>&lt;$25K</t>
  </si>
  <si>
    <t>&lt;40%</t>
  </si>
  <si>
    <t>40-59</t>
  </si>
  <si>
    <t>Watch</t>
  </si>
  <si>
    <t>Persistence</t>
  </si>
  <si>
    <t>Time spent outside acceptable drift levels</t>
  </si>
  <si>
    <t>0.26-0.50</t>
  </si>
  <si>
    <t>Moderate drift approaching watch levels</t>
  </si>
  <si>
    <t>1-2%</t>
  </si>
  <si>
    <t>$25K-$100K</t>
  </si>
  <si>
    <t>40-60%</t>
  </si>
  <si>
    <t>60-79</t>
  </si>
  <si>
    <t>Review Soon</t>
  </si>
  <si>
    <t>Velocity</t>
  </si>
  <si>
    <t>Rate at which drift is increasing</t>
  </si>
  <si>
    <t>0.51-0.75</t>
  </si>
  <si>
    <t>Significant drift requiring review</t>
  </si>
  <si>
    <t>16-30</t>
  </si>
  <si>
    <t>2-5%</t>
  </si>
  <si>
    <t>$100K-$500K</t>
  </si>
  <si>
    <t>60-80%</t>
  </si>
  <si>
    <t>80-100</t>
  </si>
  <si>
    <t>Critical</t>
  </si>
  <si>
    <t>Money Impact</t>
  </si>
  <si>
    <t>Dollar value affected by drift</t>
  </si>
  <si>
    <t>0.76-1.00</t>
  </si>
  <si>
    <t>Severe drift exceeding intended allocation</t>
  </si>
  <si>
    <t>30+</t>
  </si>
  <si>
    <t>5%+</t>
  </si>
  <si>
    <t>&gt;$500K</t>
  </si>
  <si>
    <t>&gt;80%</t>
  </si>
  <si>
    <t>Concentration</t>
  </si>
  <si>
    <t>Largest exposure within the portfolio</t>
  </si>
  <si>
    <t>Name</t>
  </si>
  <si>
    <t>Portfolio Type</t>
  </si>
  <si>
    <t>Portfolio Drift %</t>
  </si>
  <si>
    <t>Drift Velocity %</t>
  </si>
  <si>
    <t>Concentration %</t>
  </si>
  <si>
    <t>Persistence Score</t>
  </si>
  <si>
    <t>Velocity Score</t>
  </si>
  <si>
    <t>Money Impact Score</t>
  </si>
  <si>
    <t>Concentration Score</t>
  </si>
  <si>
    <t>Client Priority Score</t>
  </si>
  <si>
    <t>Michael Turner</t>
  </si>
  <si>
    <t>Conservative</t>
  </si>
  <si>
    <t>Linda Carver</t>
  </si>
  <si>
    <t>Arthur Pendelton</t>
  </si>
  <si>
    <t>Susan Patel</t>
  </si>
  <si>
    <t>Miriam Cho</t>
  </si>
  <si>
    <t>Jessica Wong</t>
  </si>
  <si>
    <t>Balanced/Moderate</t>
  </si>
  <si>
    <t>Daniel Kim</t>
  </si>
  <si>
    <t>Jennifer Schulz</t>
  </si>
  <si>
    <t>Michael Chang</t>
  </si>
  <si>
    <t>Amara Diallo</t>
  </si>
  <si>
    <t>Kevin Brooks</t>
  </si>
  <si>
    <t>Growth/Aggressive</t>
  </si>
  <si>
    <t>Jayden Okafor</t>
  </si>
  <si>
    <t>Chloe Zhao</t>
  </si>
  <si>
    <t>Emily Chen</t>
  </si>
  <si>
    <t>Ryan Reynolds</t>
  </si>
  <si>
    <t>Nancy Reed</t>
  </si>
  <si>
    <t>Income-Focused</t>
  </si>
  <si>
    <t>George Hill</t>
  </si>
  <si>
    <t>Beatrix Potter</t>
  </si>
  <si>
    <t>Thomas Baker</t>
  </si>
  <si>
    <t>Carol Davis</t>
  </si>
  <si>
    <t>William Foster</t>
  </si>
  <si>
    <t>Retiree/Near-Retirement</t>
  </si>
  <si>
    <t>Dorothy Harris</t>
  </si>
  <si>
    <t>Linda Harrison</t>
  </si>
  <si>
    <t>Barbara Clark</t>
  </si>
  <si>
    <t>Richard Evans</t>
  </si>
  <si>
    <t>Alexander Morgan</t>
  </si>
  <si>
    <t>High-Net-Worth</t>
  </si>
  <si>
    <t>Victor Vance</t>
  </si>
  <si>
    <t>Raymond Obi</t>
  </si>
  <si>
    <t>Victoria Bennett</t>
  </si>
  <si>
    <t>Christopher Adams</t>
  </si>
  <si>
    <t>Tier 1: Portfolio-Level Drift</t>
  </si>
  <si>
    <t>Tier 2: Asset-Class Drift</t>
  </si>
  <si>
    <t>Tier 3: Peristence &amp; Velocity</t>
  </si>
  <si>
    <t>Supporting Analytics &amp; Calculations</t>
  </si>
  <si>
    <t>Tier</t>
  </si>
  <si>
    <t>Watch Threshold</t>
  </si>
  <si>
    <t>Critical Threshold</t>
  </si>
  <si>
    <t>Reason</t>
  </si>
  <si>
    <t>Watch Threshold (%)</t>
  </si>
  <si>
    <t>Critical Threshold (%)</t>
  </si>
  <si>
    <t>Risk Level</t>
  </si>
  <si>
    <t>Asset Class</t>
  </si>
  <si>
    <t>Metric</t>
  </si>
  <si>
    <t>Purpose</t>
  </si>
  <si>
    <t>Tier 1</t>
  </si>
  <si>
    <t>Portfolio-Level Drift</t>
  </si>
  <si>
    <t>Varies by portfolio type</t>
  </si>
  <si>
    <t>Measures total allocation movement from target</t>
  </si>
  <si>
    <t>Low</t>
  </si>
  <si>
    <t>Equities</t>
  </si>
  <si>
    <t>15 Days</t>
  </si>
  <si>
    <t>30 Days</t>
  </si>
  <si>
    <t>Target Allocation %</t>
  </si>
  <si>
    <t>Baseline used to calculate drift</t>
  </si>
  <si>
    <t>Tier 2</t>
  </si>
  <si>
    <t>Asset-Class Drift</t>
  </si>
  <si>
    <t>Varies by asset class</t>
  </si>
  <si>
    <t>Catches material drift within a specific asset class</t>
  </si>
  <si>
    <t>Medium</t>
  </si>
  <si>
    <t>Fixed Income</t>
  </si>
  <si>
    <t>Drift Velocity</t>
  </si>
  <si>
    <t>2% in 30 Days</t>
  </si>
  <si>
    <t>5% in 30 Days</t>
  </si>
  <si>
    <t>Signed Drift %</t>
  </si>
  <si>
    <t>Shows whether an asset class is overweight or underweight</t>
  </si>
  <si>
    <t>Tier 3</t>
  </si>
  <si>
    <t>Shows drift is sustained, not temporary</t>
  </si>
  <si>
    <t>High</t>
  </si>
  <si>
    <t>Cash</t>
  </si>
  <si>
    <t>Forecast Drift %</t>
  </si>
  <si>
    <t>Projects future drift if current trends continue</t>
  </si>
  <si>
    <t>Shows drift is worsening quickly</t>
  </si>
  <si>
    <t>Alternatives</t>
  </si>
  <si>
    <t>Turnover Drift %</t>
  </si>
  <si>
    <t>Estimates rebalancing required to return to target allocation</t>
  </si>
  <si>
    <t>Quantifies drift in dollar terms</t>
  </si>
  <si>
    <t>High-Net-Worth (Complex Portfolio)</t>
  </si>
  <si>
    <t>Days to Critical Breach</t>
  </si>
  <si>
    <t>Estimates when a portfolio may reach critical status</t>
  </si>
  <si>
    <t>Source</t>
  </si>
  <si>
    <t>DOB</t>
  </si>
  <si>
    <t>Client ID</t>
  </si>
  <si>
    <t>Portfolio Value</t>
  </si>
  <si>
    <t>Initial Investment</t>
  </si>
  <si>
    <t>Financial Goal</t>
  </si>
  <si>
    <t>Risk Profile</t>
  </si>
  <si>
    <t>Current Equity %</t>
  </si>
  <si>
    <t>Current Fixed Income %</t>
  </si>
  <si>
    <t>Current Cash %</t>
  </si>
  <si>
    <t>Current Alternatives %</t>
  </si>
  <si>
    <t>Target Equity %</t>
  </si>
  <si>
    <t>Target Fixed Income %</t>
  </si>
  <si>
    <t>Target Cash %</t>
  </si>
  <si>
    <t>Target Alternatives %</t>
  </si>
  <si>
    <t>Signed Equity Drift %</t>
  </si>
  <si>
    <t>Signed Fixed Income Drift %</t>
  </si>
  <si>
    <t>Signed Cash Drift %</t>
  </si>
  <si>
    <t>Signed Alternatives Drift %</t>
  </si>
  <si>
    <t>Previous Drift %</t>
  </si>
  <si>
    <t>Drift Velocity % (30D)</t>
  </si>
  <si>
    <t>Forecast Drift % (30D)</t>
  </si>
  <si>
    <t>Trigger Condition</t>
  </si>
  <si>
    <t>ChatGPT</t>
  </si>
  <si>
    <t>CT-847291</t>
  </si>
  <si>
    <t>Generate $45K/year retirement income</t>
  </si>
  <si>
    <t>Within Threshold</t>
  </si>
  <si>
    <t>Perplexity</t>
  </si>
  <si>
    <t>CN-002-7713</t>
  </si>
  <si>
    <t>Generate $3,000/month supplemental pension income</t>
  </si>
  <si>
    <t>Gemini</t>
  </si>
  <si>
    <t>PPT: XF987452</t>
  </si>
  <si>
    <t>Preserve $2M inheritance for future generations</t>
  </si>
  <si>
    <t>CT-293845</t>
  </si>
  <si>
    <t>Preserve and grow $1.5M family wealth over 10 years</t>
  </si>
  <si>
    <t>Portfolio Drift</t>
  </si>
  <si>
    <t>CL-8819</t>
  </si>
  <si>
    <t>Fund emergency medical reserve of $100K</t>
  </si>
  <si>
    <t>Portfolio + Persistence</t>
  </si>
  <si>
    <t>BM-374829</t>
  </si>
  <si>
    <t>Fund child's college education ($250K target)</t>
  </si>
  <si>
    <t>BL-004-7612</t>
  </si>
  <si>
    <t>Grow retirement assets to $2.5M</t>
  </si>
  <si>
    <t>Claude</t>
  </si>
  <si>
    <t>US-G3310924</t>
  </si>
  <si>
    <t>Pay off $38K student-loan balance</t>
  </si>
  <si>
    <t>PPT: AB123456</t>
  </si>
  <si>
    <t>Purchase first home ($500K target)</t>
  </si>
  <si>
    <t>CL-2345</t>
  </si>
  <si>
    <t>Retire at age 60 with $2M portfolio</t>
  </si>
  <si>
    <t>GA-473829</t>
  </si>
  <si>
    <t>Accumulate $1M investable assets by age 50</t>
  </si>
  <si>
    <t>NG-JO6602938</t>
  </si>
  <si>
    <t>Accumulate $200K by age 35</t>
  </si>
  <si>
    <t>PPT: GZ554433</t>
  </si>
  <si>
    <t>Accumulate $500K startup seed capital</t>
  </si>
  <si>
    <t>GA-184726</t>
  </si>
  <si>
    <t>Reach financial independence with a $4M portfolio by age 50</t>
  </si>
  <si>
    <t>CL-4411</t>
  </si>
  <si>
    <t>Acquire a $5M commercial real-estate portfolio</t>
  </si>
  <si>
    <t>Portfolio + Asset-Class</t>
  </si>
  <si>
    <t>IF-183726</t>
  </si>
  <si>
    <t>Generate additional $2,500/month retirement income</t>
  </si>
  <si>
    <t>IN-001-3381</t>
  </si>
  <si>
    <t>Generate $30K annual dividend income</t>
  </si>
  <si>
    <t>PPT: YU445566</t>
  </si>
  <si>
    <t>Fund $150K vacation-home down payment</t>
  </si>
  <si>
    <t>IF-726184</t>
  </si>
  <si>
    <t>Generate $40K annual dividend income</t>
  </si>
  <si>
    <t>IF-392817</t>
  </si>
  <si>
    <t>Maintain stable cash flow of $4,000/month</t>
  </si>
  <si>
    <t>RN-948271</t>
  </si>
  <si>
    <t>Withdraw $60K annually throughout retirement</t>
  </si>
  <si>
    <t>RT-003-5521</t>
  </si>
  <si>
    <t>Set aside $300K for healthcare expenses</t>
  </si>
  <si>
    <t>PPT: ER556677</t>
  </si>
  <si>
    <t>Purchase active-adult community home ($350K cash purchase)</t>
  </si>
  <si>
    <t>RN-284736</t>
  </si>
  <si>
    <t>Preserve $2M retirement portfolio while limiting downside risk</t>
  </si>
  <si>
    <t>RN-726395</t>
  </si>
  <si>
    <t>Set aside $250K for future healthcare and long-term care expenses</t>
  </si>
  <si>
    <t>HNW-726183</t>
  </si>
  <si>
    <t>Build and preserve $10M+ family wealth across generations</t>
  </si>
  <si>
    <t>CL-0001</t>
  </si>
  <si>
    <t>Implement estate plan for a $15M family estate across 3 children</t>
  </si>
  <si>
    <t>NG-RO8810293</t>
  </si>
  <si>
    <t>Raise $500K seed capital for tech startup</t>
  </si>
  <si>
    <t>HNW-837261</t>
  </si>
  <si>
    <t>Grow portfolio tax-efficiently to $20M</t>
  </si>
  <si>
    <t>HNW-192837</t>
  </si>
  <si>
    <t>Establish and fund a family office structure for $10M estate</t>
  </si>
  <si>
    <t>Alert Trigger Type</t>
  </si>
  <si>
    <t>Portfolio Watch Threshold</t>
  </si>
  <si>
    <t>Portfolio Critical Threshold</t>
  </si>
  <si>
    <t>Asset-Class Watch Threshold</t>
  </si>
  <si>
    <t>Asset-Class Critical Threshold</t>
  </si>
  <si>
    <t>Identifier</t>
  </si>
  <si>
    <t>Equity %</t>
  </si>
  <si>
    <t>Fixed Income %</t>
  </si>
  <si>
    <t>Cash %</t>
  </si>
  <si>
    <t>Alternatives %</t>
  </si>
  <si>
    <t>Equity Drift %</t>
  </si>
  <si>
    <t>Fixed Income Drift %</t>
  </si>
  <si>
    <t>Cash Drift %</t>
  </si>
  <si>
    <t>Alternatives Drift %</t>
  </si>
  <si>
    <t>SSN: XXX-XX-8819</t>
  </si>
  <si>
    <t>***-**-8841 | US-G3310924</t>
  </si>
  <si>
    <t>SSN: XXX-XX-2345</t>
  </si>
  <si>
    <t>***-**-1193 | NG-JO6602938</t>
  </si>
  <si>
    <t>SSN: XXX-XX-4411</t>
  </si>
  <si>
    <t>SSN: XXX-XX-0001</t>
  </si>
  <si>
    <t>***-**-5590 | NG-RO8810293</t>
  </si>
  <si>
    <t>Client Name</t>
  </si>
  <si>
    <t>Mock ID</t>
  </si>
  <si>
    <t>Portfolio Value ($)</t>
  </si>
  <si>
    <t>Initial Investment ($)</t>
  </si>
  <si>
    <t>Risk Threshold</t>
  </si>
  <si>
    <t>L</t>
  </si>
  <si>
    <t>Retirement income</t>
  </si>
  <si>
    <t>None</t>
  </si>
  <si>
    <t>Preserve wealth</t>
  </si>
  <si>
    <t>David Kim</t>
  </si>
  <si>
    <t>CT-581742</t>
  </si>
  <si>
    <t>Capital preservation</t>
  </si>
  <si>
    <t>Linda Garcia</t>
  </si>
  <si>
    <t>CT-918273</t>
  </si>
  <si>
    <t>Emergency reserve growth</t>
  </si>
  <si>
    <t>Robert Singh</t>
  </si>
  <si>
    <t>CT-462819</t>
  </si>
  <si>
    <t>Legacy planning</t>
  </si>
  <si>
    <t>M</t>
  </si>
  <si>
    <t>College funding</t>
  </si>
  <si>
    <t>Andrew Miller</t>
  </si>
  <si>
    <t>BM-726351</t>
  </si>
  <si>
    <t>Retirement growth</t>
  </si>
  <si>
    <t>Priya Shah</t>
  </si>
  <si>
    <t>BM-192847</t>
  </si>
  <si>
    <t>Second home purchase</t>
  </si>
  <si>
    <t>Mark Johnson</t>
  </si>
  <si>
    <t>BM-584726</t>
  </si>
  <si>
    <t>Long-term growth</t>
  </si>
  <si>
    <t>Rachel Cohen</t>
  </si>
  <si>
    <t>BM-837192</t>
  </si>
  <si>
    <t>Retirement planning</t>
  </si>
  <si>
    <t>H</t>
  </si>
  <si>
    <t>Wealth accumulation</t>
  </si>
  <si>
    <t>Financial independence</t>
  </si>
  <si>
    <t>Jason Patel</t>
  </si>
  <si>
    <t>GA-918472</t>
  </si>
  <si>
    <t>Early retirement</t>
  </si>
  <si>
    <t>Sarah Wilson</t>
  </si>
  <si>
    <t>GA-362718</t>
  </si>
  <si>
    <t>Daniel Lee</t>
  </si>
  <si>
    <t>GA-726183</t>
  </si>
  <si>
    <t>Maximize portfolio growth</t>
  </si>
  <si>
    <t>Supplement retirement income</t>
  </si>
  <si>
    <t>Dividend income</t>
  </si>
  <si>
    <t>Stable cash flow</t>
  </si>
  <si>
    <t>George Lewis</t>
  </si>
  <si>
    <t>IF-847261</t>
  </si>
  <si>
    <t>Income generation</t>
  </si>
  <si>
    <t>Janet Moore</t>
  </si>
  <si>
    <t>IF-581937</t>
  </si>
  <si>
    <t>Retirement withdrawals</t>
  </si>
  <si>
    <t>Preserve retirement assets</t>
  </si>
  <si>
    <t>Healthcare expenses</t>
  </si>
  <si>
    <t>Donna Hall</t>
  </si>
  <si>
    <t>RN-483726</t>
  </si>
  <si>
    <t>Income stability</t>
  </si>
  <si>
    <t>Charles Young</t>
  </si>
  <si>
    <t>RN-182736</t>
  </si>
  <si>
    <t>Estate planning</t>
  </si>
  <si>
    <t>Multi-generational wealth</t>
  </si>
  <si>
    <t>Tax-efficient growth</t>
  </si>
  <si>
    <t>Family office planning</t>
  </si>
  <si>
    <t>Olivia Thompson</t>
  </si>
  <si>
    <t>HNW-564738</t>
  </si>
  <si>
    <t>Diversification</t>
  </si>
  <si>
    <t>Benjamin Ross</t>
  </si>
  <si>
    <t>HNW-918273</t>
  </si>
  <si>
    <t>Legacy and estate planning</t>
  </si>
  <si>
    <t>Profile Type</t>
  </si>
  <si>
    <t>Unique Identifier</t>
  </si>
  <si>
    <t>Present Volume</t>
  </si>
  <si>
    <t>Equities %</t>
  </si>
  <si>
    <t>Equities ($)</t>
  </si>
  <si>
    <t>Fixed Income ($)</t>
  </si>
  <si>
    <t>Alternatives ($)</t>
  </si>
  <si>
    <t>Cash/Liquid %</t>
  </si>
  <si>
    <t>Cash/Liquid ($)</t>
  </si>
  <si>
    <t>Current Drift %</t>
  </si>
  <si>
    <t>Risk Status</t>
  </si>
  <si>
    <t>CON-01</t>
  </si>
  <si>
    <t>Eleanor Vance</t>
  </si>
  <si>
    <t>SSN: XXX-XX-4321</t>
  </si>
  <si>
    <t>Normal / Low Risk</t>
  </si>
  <si>
    <t>Secure $50K for grandchild’s wedding in 3 years.</t>
  </si>
  <si>
    <t>CON-02</t>
  </si>
  <si>
    <t>Watch / Medium Risk</t>
  </si>
  <si>
    <t>Wealth preservation to pass down an inheritance.</t>
  </si>
  <si>
    <t>CON-03</t>
  </si>
  <si>
    <t>Critical / High Risk</t>
  </si>
  <si>
    <t>Fund emergency medical reserve of $100K.</t>
  </si>
  <si>
    <t>CON-04</t>
  </si>
  <si>
    <t>David Brooks</t>
  </si>
  <si>
    <t>PPT: ZA112233</t>
  </si>
  <si>
    <t>Maintain purchasing power without losing principal.</t>
  </si>
  <si>
    <t>CON-05</t>
  </si>
  <si>
    <t>Clara Higgins</t>
  </si>
  <si>
    <t>SSN: XXX-XX-1102</t>
  </si>
  <si>
    <t>Buy a $40K handicap-accessible vehicle next year.</t>
  </si>
  <si>
    <t>INC-01</t>
  </si>
  <si>
    <t>James Sterling</t>
  </si>
  <si>
    <t>SSN: XXX-XX-5566</t>
  </si>
  <si>
    <t>Generate $2,500/month in supplemental income.</t>
  </si>
  <si>
    <t>INC-02</t>
  </si>
  <si>
    <t>Fund a $150K vacation home down-payment.</t>
  </si>
  <si>
    <t>INC-03</t>
  </si>
  <si>
    <t>Gordon Wright</t>
  </si>
  <si>
    <t>SSN: XXX-XX-9922</t>
  </si>
  <si>
    <t>Pay off remaining $120K primary mortgage.</t>
  </si>
  <si>
    <t>INC-04</t>
  </si>
  <si>
    <t>Elena Rostova</t>
  </si>
  <si>
    <t>PPT: KL778899</t>
  </si>
  <si>
    <t>Fund children’s elite private school tuition ($60K/yr).</t>
  </si>
  <si>
    <t>INC-05</t>
  </si>
  <si>
    <t>Marcus Aurelius</t>
  </si>
  <si>
    <t>SSN: XXX-XX-3456</t>
  </si>
  <si>
    <t>Finance early retirement travel expenses ($30K/yr).</t>
  </si>
  <si>
    <t>RET-01</t>
  </si>
  <si>
    <t>Robert Miller</t>
  </si>
  <si>
    <t>SSN: XXX-XX-1234</t>
  </si>
  <si>
    <t>Standard retirement draw of $50K annually starting next year.</t>
  </si>
  <si>
    <t>RET-02</t>
  </si>
  <si>
    <t>Relocate to an active adult community ($350K cash buy).</t>
  </si>
  <si>
    <t>RET-03</t>
  </si>
  <si>
    <t>Samuel Jackson</t>
  </si>
  <si>
    <t>SSN: XXX-XX-7788</t>
  </si>
  <si>
    <t>Fund a $500K medical and long-term care trust fund.</t>
  </si>
  <si>
    <t>RET-04</t>
  </si>
  <si>
    <t>Nancy Jenkins</t>
  </si>
  <si>
    <t>PPT: OP112233</t>
  </si>
  <si>
    <t>Purchase a $60K RV for cross-country travel.</t>
  </si>
  <si>
    <t>RET-05</t>
  </si>
  <si>
    <t>Harvey Specter</t>
  </si>
  <si>
    <t>SSN: XXX-XX-9090</t>
  </si>
  <si>
    <t>Secure a legacy donation of $1M to alma mater at death.</t>
  </si>
  <si>
    <t>BAL-01</t>
  </si>
  <si>
    <t>Sarah Jenkins</t>
  </si>
  <si>
    <t>SSN: XXX-XX-7890</t>
  </si>
  <si>
    <t>Send two kids to college in 8 years ($250K total).</t>
  </si>
  <si>
    <t>BAL-02</t>
  </si>
  <si>
    <t>Buy a single-family home for $500K in 4 years.</t>
  </si>
  <si>
    <t>BAL-03</t>
  </si>
  <si>
    <t>Capital accumulation to retire early at age 60.</t>
  </si>
  <si>
    <t>BAL-04</t>
  </si>
  <si>
    <t>Thomas Wright</t>
  </si>
  <si>
    <t>PPT: CD789012</t>
  </si>
  <si>
    <t>Upgrade primary residence ($200K equity needed).</t>
  </si>
  <si>
    <t>BAL-05</t>
  </si>
  <si>
    <t>Rachel Green</t>
  </si>
  <si>
    <t>SSN: XXX-XX-6543</t>
  </si>
  <si>
    <t>Capital growth for a business launch in 7 years ($100K).</t>
  </si>
  <si>
    <t>HNW-01</t>
  </si>
  <si>
    <t>Tax-sheltered estate planning for 3 children.</t>
  </si>
  <si>
    <t>HNW-02</t>
  </si>
  <si>
    <t>Diana Prince</t>
  </si>
  <si>
    <t>PPT: WP007007</t>
  </si>
  <si>
    <t>Establish a $5M family private charitable foundation.</t>
  </si>
  <si>
    <t>HNW-03</t>
  </si>
  <si>
    <t>Bruce Wayne</t>
  </si>
  <si>
    <t>SSN: XXX-XX-1939</t>
  </si>
  <si>
    <t>Fund a $10M commercial real estate expansion project.</t>
  </si>
  <si>
    <t>HNW-04</t>
  </si>
  <si>
    <t>Charlotte York</t>
  </si>
  <si>
    <t>PPT: US998877</t>
  </si>
  <si>
    <t>Purchase a €2M vacation estate in Tuscany.</t>
  </si>
  <si>
    <t>HNW-05</t>
  </si>
  <si>
    <t>Tony Stark</t>
  </si>
  <si>
    <t>SSN: XXX-XX-4662</t>
  </si>
  <si>
    <t>Seed-fund a $5M clean-tech venture capital fund.</t>
  </si>
  <si>
    <t>GRO-01</t>
  </si>
  <si>
    <t>Alex Kennedy</t>
  </si>
  <si>
    <t>SSN: XXX-XX-8877</t>
  </si>
  <si>
    <t>Accumulate $1M for financial independence by age 45.</t>
  </si>
  <si>
    <t>GRO-02</t>
  </si>
  <si>
    <t>Generate $500K for startup seed capital in 5 years.</t>
  </si>
  <si>
    <t>GRO-03</t>
  </si>
  <si>
    <t>Purchase a private commercial property ($2M value).</t>
  </si>
  <si>
    <t>GRO-04</t>
  </si>
  <si>
    <t>Siddharth Nair</t>
  </si>
  <si>
    <t>PPT: IND66778</t>
  </si>
  <si>
    <t>Fully fund children’s future Ivy League tuition ($400K).</t>
  </si>
  <si>
    <t>GRO-05</t>
  </si>
  <si>
    <t>Vanessa Kirby</t>
  </si>
  <si>
    <t>SSN: XXX-XX-5678</t>
  </si>
  <si>
    <t>Buy a $1.2M penthouse apartment in 6 years.</t>
  </si>
  <si>
    <t>Current Value ($)</t>
  </si>
  <si>
    <t>Robert Hayes</t>
  </si>
  <si>
    <t>CN-001-4582</t>
  </si>
  <si>
    <t>Preserve retirement savings</t>
  </si>
  <si>
    <t>Supplement pension income</t>
  </si>
  <si>
    <t>James Porter</t>
  </si>
  <si>
    <t>CN-003-8821</t>
  </si>
  <si>
    <t>Susan Miller</t>
  </si>
  <si>
    <t>CN-004-2291</t>
  </si>
  <si>
    <t>Emergency fund stability</t>
  </si>
  <si>
    <t>CN-005-9934</t>
  </si>
  <si>
    <t>BL-001-1123</t>
  </si>
  <si>
    <t>Buy house (500K)</t>
  </si>
  <si>
    <t>Michael Torres</t>
  </si>
  <si>
    <t>BL-002-8822</t>
  </si>
  <si>
    <t>College fund</t>
  </si>
  <si>
    <t>BL-003-4451</t>
  </si>
  <si>
    <t>Olivia White</t>
  </si>
  <si>
    <t>BL-005-2244</t>
  </si>
  <si>
    <t>Family savings</t>
  </si>
  <si>
    <t>Ethan Clark</t>
  </si>
  <si>
    <t>GR-001-8891</t>
  </si>
  <si>
    <t>Maximize long-term returns</t>
  </si>
  <si>
    <t>Sophia Patel</t>
  </si>
  <si>
    <t>GR-002-5512</t>
  </si>
  <si>
    <t>Lucas Brown</t>
  </si>
  <si>
    <t>GR-003-6673</t>
  </si>
  <si>
    <t>Wealth building</t>
  </si>
  <si>
    <t>Ava Wilson</t>
  </si>
  <si>
    <t>GR-004-2211</t>
  </si>
  <si>
    <t>Startup capital</t>
  </si>
  <si>
    <t>Noah Davis</t>
  </si>
  <si>
    <t>GR-005-9982</t>
  </si>
  <si>
    <t>Aggressive accumulation</t>
  </si>
  <si>
    <t>Karen Scott</t>
  </si>
  <si>
    <t>IN-002-7723</t>
  </si>
  <si>
    <t>Stable Monthly Income</t>
  </si>
  <si>
    <t>Thomas Young</t>
  </si>
  <si>
    <t>IN-003-6611</t>
  </si>
  <si>
    <t>Supplement salary</t>
  </si>
  <si>
    <t>Nancy Adams</t>
  </si>
  <si>
    <t>IN-004-5522</t>
  </si>
  <si>
    <t>Cash flow stability</t>
  </si>
  <si>
    <t>Paul Evans</t>
  </si>
  <si>
    <t>IN-005-1199</t>
  </si>
  <si>
    <t>Bond income focus</t>
  </si>
  <si>
    <t>William King</t>
  </si>
  <si>
    <t>HN-001-9001</t>
  </si>
  <si>
    <t>Elizabeth Moore</t>
  </si>
  <si>
    <t>HN-002-8842</t>
  </si>
  <si>
    <t>Wealth preservation</t>
  </si>
  <si>
    <t>Charles Wright</t>
  </si>
  <si>
    <t>HN-003-7712</t>
  </si>
  <si>
    <t>Victoria Hall</t>
  </si>
  <si>
    <t>HN-004-6614</t>
  </si>
  <si>
    <t>Andrew Allen</t>
  </si>
  <si>
    <t>HN-005-5516</t>
  </si>
  <si>
    <t>Private market exposure</t>
  </si>
  <si>
    <t>Margaret Lewis</t>
  </si>
  <si>
    <t>RT-001-7781</t>
  </si>
  <si>
    <t>Henry Walker</t>
  </si>
  <si>
    <t>RT-002-6642</t>
  </si>
  <si>
    <t>Healthcare funding</t>
  </si>
  <si>
    <t>Edward Young</t>
  </si>
  <si>
    <t>RT-004-9912</t>
  </si>
  <si>
    <t>Betty King</t>
  </si>
  <si>
    <t>RT-005-8833</t>
  </si>
  <si>
    <t>Full Name</t>
  </si>
  <si>
    <t>SSN (Masked)</t>
  </si>
  <si>
    <t>Passport #</t>
  </si>
  <si>
    <t>Date of Birth</t>
  </si>
  <si>
    <t>Age</t>
  </si>
  <si>
    <t>Current Value</t>
  </si>
  <si>
    <t>Total Return ($)</t>
  </si>
  <si>
    <t>Total Return (%)</t>
  </si>
  <si>
    <t>Allocation — Bonds %</t>
  </si>
  <si>
    <t>Allocation — Stocks %</t>
  </si>
  <si>
    <t>Allocation — Cash %</t>
  </si>
  <si>
    <t>Allocation — REITs %</t>
  </si>
  <si>
    <t>Allocation — Alts %</t>
  </si>
  <si>
    <t>Primary Goal</t>
  </si>
  <si>
    <t>CON-001</t>
  </si>
  <si>
    <t>Margaret Okonkwo</t>
  </si>
  <si>
    <t>***-**-4821</t>
  </si>
  <si>
    <t>US-A4829301</t>
  </si>
  <si>
    <t>Maintain income through retirement ($3,500/mo)</t>
  </si>
  <si>
    <t>CON-002</t>
  </si>
  <si>
    <t>Robert Henschel</t>
  </si>
  <si>
    <t>***-**-7734</t>
  </si>
  <si>
    <t>US-B1920374</t>
  </si>
  <si>
    <t>Preserve principal during market downturns</t>
  </si>
  <si>
    <t>CON-003</t>
  </si>
  <si>
    <t>Patricia Svensson</t>
  </si>
  <si>
    <t>***-**-3390</t>
  </si>
  <si>
    <t>SE-PA9928182</t>
  </si>
  <si>
    <t>Early semi-retirement by 62 ($2,800/mo)</t>
  </si>
  <si>
    <t>CON-004</t>
  </si>
  <si>
    <t>David Chukwuemeka</t>
  </si>
  <si>
    <t>***-**-5512</t>
  </si>
  <si>
    <t>NG-DC4401928</t>
  </si>
  <si>
    <t>Monthly income supplement ($2,000/mo)</t>
  </si>
  <si>
    <t>CON-005</t>
  </si>
  <si>
    <t>Eleanor Watanabe</t>
  </si>
  <si>
    <t>***-**-8876</t>
  </si>
  <si>
    <t>US-C8837204</t>
  </si>
  <si>
    <t>Retire at 65 with $4,200/mo income</t>
  </si>
  <si>
    <t>INC-001</t>
  </si>
  <si>
    <t>Harold Mbeki</t>
  </si>
  <si>
    <t>***-**-2240</t>
  </si>
  <si>
    <t>ZA-HM8821033</t>
  </si>
  <si>
    <t>Generate $4,500/mo dividend income</t>
  </si>
  <si>
    <t>INC-002</t>
  </si>
  <si>
    <t>Barbara Oduya</t>
  </si>
  <si>
    <t>***-**-6614</t>
  </si>
  <si>
    <t>US-D2910482</t>
  </si>
  <si>
    <t>Supplement Social Security by $2,800/mo</t>
  </si>
  <si>
    <t>INC-003</t>
  </si>
  <si>
    <t>Kenneth Larsson</t>
  </si>
  <si>
    <t>***-**-9983</t>
  </si>
  <si>
    <t>SE-KL2209183</t>
  </si>
  <si>
    <t>$5,000/mo passive income at retirement</t>
  </si>
  <si>
    <t>INC-004</t>
  </si>
  <si>
    <t>Frances Nwosu</t>
  </si>
  <si>
    <t>***-**-4477</t>
  </si>
  <si>
    <t>NG-FN7731204</t>
  </si>
  <si>
    <t>Monthly income stream $2,100/mo</t>
  </si>
  <si>
    <t>INC-005</t>
  </si>
  <si>
    <t>Thomas Bergström</t>
  </si>
  <si>
    <t>***-**-1120</t>
  </si>
  <si>
    <t>SE-TB0019283</t>
  </si>
  <si>
    <t>$6,800/mo in dividends + distributions</t>
  </si>
  <si>
    <t>RET-001</t>
  </si>
  <si>
    <t>Gloria Adeyemi</t>
  </si>
  <si>
    <t>***-**-3381</t>
  </si>
  <si>
    <t>NG-GA2201938</t>
  </si>
  <si>
    <t>RMD management — minimize tax impact</t>
  </si>
  <si>
    <t>RET-002</t>
  </si>
  <si>
    <t>Leonard Kowalski</t>
  </si>
  <si>
    <t>***-**-7029</t>
  </si>
  <si>
    <t>US-E5520183</t>
  </si>
  <si>
    <t>Stable $4,000/mo income, no market risk</t>
  </si>
  <si>
    <t>RET-003</t>
  </si>
  <si>
    <t>Catherine Hashimoto</t>
  </si>
  <si>
    <t>***-**-8802</t>
  </si>
  <si>
    <t>US-F9901748</t>
  </si>
  <si>
    <t>Bridge to Medicare — cover insurance gap ($48K)</t>
  </si>
  <si>
    <t>RET-004</t>
  </si>
  <si>
    <t>Frank Osei</t>
  </si>
  <si>
    <t>***-**-5541</t>
  </si>
  <si>
    <t>GH-FO3301842</t>
  </si>
  <si>
    <t>Downsize from 4BR to condo ($350K sale, $200K buy)</t>
  </si>
  <si>
    <t>RET-005</t>
  </si>
  <si>
    <t>Sandra Nilsson</t>
  </si>
  <si>
    <t>***-**-6677</t>
  </si>
  <si>
    <t>SE-SN0029384</t>
  </si>
  <si>
    <t>$7,500/mo distribution to live comfortably</t>
  </si>
  <si>
    <t>BAL-001</t>
  </si>
  <si>
    <t>Michael Ibe</t>
  </si>
  <si>
    <t>***-**-2293</t>
  </si>
  <si>
    <t>NG-MI4401839</t>
  </si>
  <si>
    <t>Buy first home in suburbs ($500K budget)</t>
  </si>
  <si>
    <t>BAL-002</t>
  </si>
  <si>
    <t>***-**-8841</t>
  </si>
  <si>
    <t>Pay off student loans ($38K)</t>
  </si>
  <si>
    <t>BAL-003</t>
  </si>
  <si>
    <t>Derek Okonkwo</t>
  </si>
  <si>
    <t>***-**-3374</t>
  </si>
  <si>
    <t>NG-DO5511204</t>
  </si>
  <si>
    <t>Add investment property ($380K)</t>
  </si>
  <si>
    <t>BAL-004</t>
  </si>
  <si>
    <t>Alicia Petrov</t>
  </si>
  <si>
    <t>***-**-6019</t>
  </si>
  <si>
    <t>RU-AP2219384</t>
  </si>
  <si>
    <t>Buy starter home ($360K, 20% down)</t>
  </si>
  <si>
    <t>BAL-005</t>
  </si>
  <si>
    <t>Marcus Yeung</t>
  </si>
  <si>
    <t>***-**-7712</t>
  </si>
  <si>
    <t>US-H8801938</t>
  </si>
  <si>
    <t>Second home — mountain cabin ($400K)</t>
  </si>
  <si>
    <t>HNW-001</t>
  </si>
  <si>
    <t>Vanessa Thornton-Reid</t>
  </si>
  <si>
    <t>***-**-0021</t>
  </si>
  <si>
    <t>US-I1102938</t>
  </si>
  <si>
    <t>Multi-generational wealth trust ($2M)</t>
  </si>
  <si>
    <t>HNW-002</t>
  </si>
  <si>
    <t>***-**-5590</t>
  </si>
  <si>
    <t>Launch tech startup ($500K seed capital)</t>
  </si>
  <si>
    <t>HNW-003</t>
  </si>
  <si>
    <t>Ingrid Söderström</t>
  </si>
  <si>
    <t>***-**-3312</t>
  </si>
  <si>
    <t>SE-IS7701928</t>
  </si>
  <si>
    <t>Retire to Marbella villa ($3M property)</t>
  </si>
  <si>
    <t>HNW-004</t>
  </si>
  <si>
    <t>Charles Adebayo</t>
  </si>
  <si>
    <t>***-**-4409</t>
  </si>
  <si>
    <t>NG-CA3301938</t>
  </si>
  <si>
    <t>IPO participation access ($200K reserved)</t>
  </si>
  <si>
    <t>HNW-005</t>
  </si>
  <si>
    <t>Caroline Whitmore</t>
  </si>
  <si>
    <t>***-**-8834</t>
  </si>
  <si>
    <t>US-J0029384</t>
  </si>
  <si>
    <t>Endow university chair in economics ($2M)</t>
  </si>
  <si>
    <t>GRW-001</t>
  </si>
  <si>
    <t>***-**-1193</t>
  </si>
  <si>
    <t>Accumulate $200K by 35</t>
  </si>
  <si>
    <t>GRW-002</t>
  </si>
  <si>
    <t>Priya Krishnamurthy</t>
  </si>
  <si>
    <t>***-**-4418</t>
  </si>
  <si>
    <t>IN-PK9928472</t>
  </si>
  <si>
    <t>Reach $500K by 40</t>
  </si>
  <si>
    <t>GRW-003</t>
  </si>
  <si>
    <t>Tyler Osei</t>
  </si>
  <si>
    <t>GH-TO1101928</t>
  </si>
  <si>
    <t>Financial independence by 45 ($2M)</t>
  </si>
  <si>
    <t>GRW-004</t>
  </si>
  <si>
    <t>***-**-5523</t>
  </si>
  <si>
    <t>SN-AD7711029</t>
  </si>
  <si>
    <t>$100K investable by 30</t>
  </si>
  <si>
    <t>GRW-005</t>
  </si>
  <si>
    <t>Nathan Bergqvist</t>
  </si>
  <si>
    <t>***-**-9940</t>
  </si>
  <si>
    <t>SE-NB8810293</t>
  </si>
  <si>
    <t>$1M investable by 42</t>
  </si>
  <si>
    <t>Preserve $750K principal while maintaining inflation-adjusted returns</t>
  </si>
  <si>
    <t>Build emergency reserve fund to $100K</t>
  </si>
  <si>
    <t>Transfer $2M estate to heirs tax-efficiently</t>
  </si>
  <si>
    <t>Grow portfolio to $2.5M by retirement</t>
  </si>
  <si>
    <t>Purchase second home ($600K property)</t>
  </si>
  <si>
    <t>Grow portfolio at 6-7% annually for long-term wealth accumulation</t>
  </si>
  <si>
    <t>Accumulate $3M retirement portfolio by age 65</t>
  </si>
  <si>
    <t>Reach financial independence with $2M portfolio</t>
  </si>
  <si>
    <t>Retire 10 years early with $1.5M invested assets</t>
  </si>
  <si>
    <t>Grow portfolio to $3M over 20 years</t>
  </si>
  <si>
    <t>Achieve $5M net worth through portfolio appreciation</t>
  </si>
  <si>
    <t>Generate supplemental income of $30K annually</t>
  </si>
  <si>
    <t>Generate $50K annual retirement income</t>
  </si>
  <si>
    <t>Set aside $500K for future healthcare and long-term care expenses</t>
  </si>
  <si>
    <t>Maintain stable retirement income of $3,500/month</t>
  </si>
  <si>
    <t>Transfer $3M estate to beneficiaries efficiently</t>
  </si>
  <si>
    <t>Maintain diversified exposure across equities, bonds, and alternatives with $15M portfolio</t>
  </si>
  <si>
    <t>Transfer $5M estate while minimizing tax liabilities</t>
  </si>
  <si>
    <t>Secure $50K for grandchild’s wedding in 3 years</t>
  </si>
  <si>
    <t>Maintain purchasing power on $500K portfolio without principal erosion</t>
  </si>
  <si>
    <t>Purchase $40K handicap-accessible vehicle next year</t>
  </si>
  <si>
    <t>Generate $2,500/month in supplemental income</t>
  </si>
  <si>
    <t>Pay off remaining $120K mortgage balance</t>
  </si>
  <si>
    <t>Fund private-school tuition of $60K/year</t>
  </si>
  <si>
    <t>Finance retirement travel budget of $30K/year</t>
  </si>
  <si>
    <t>Withdraw $50K annually beginning next year</t>
  </si>
  <si>
    <t>Establish $500K healthcare trust fund</t>
  </si>
  <si>
    <t>Purchase $60K RV for retirement travel</t>
  </si>
  <si>
    <t>Leave $1M charitable gift to alma mater</t>
  </si>
  <si>
    <t>Fund two children's college education ($250K total)</t>
  </si>
  <si>
    <t>Upgrade residence requiring $200K additional equity</t>
  </si>
  <si>
    <t>Accumulate $100K to launch business in 7 years</t>
  </si>
  <si>
    <t>Implement estate plan for 3 children and $5M estate</t>
  </si>
  <si>
    <t>Establish $5M charitable family foundation</t>
  </si>
  <si>
    <t>Fund $10M commercial real-estate expansion</t>
  </si>
  <si>
    <t>Purchase €2M Tuscany vacation estate</t>
  </si>
  <si>
    <t>Launch $5M clean-tech venture fund</t>
  </si>
  <si>
    <t>Achieve financial independence with $1M portfolio by age 45</t>
  </si>
  <si>
    <t>Acquire commercial property valued at $2M</t>
  </si>
  <si>
    <t>Fully fund Ivy League education costs ($400K)</t>
  </si>
  <si>
    <t>Purchase $1.2M penthouse in 6 years</t>
  </si>
  <si>
    <t>Preserve $1.5M retirement savings</t>
  </si>
  <si>
    <t>Preserve $750K capital base</t>
  </si>
  <si>
    <t>Maintain $75K emergency reserve fund</t>
  </si>
  <si>
    <t>Transfer $2M estate to heirs</t>
  </si>
  <si>
    <t>Purchase home valued at $500K</t>
  </si>
  <si>
    <t>Build college fund to $200K</t>
  </si>
  <si>
    <t>Accumulate $1M investment portfolio</t>
  </si>
  <si>
    <t>Build family savings account to $250K</t>
  </si>
  <si>
    <t>Maximize long-term returns targeting $5M portfolio</t>
  </si>
  <si>
    <t>Retire early with $1.5M invested assets</t>
  </si>
  <si>
    <t>Build $2M net worth</t>
  </si>
  <si>
    <t>Raise $500K startup capital</t>
  </si>
  <si>
    <t>Accumulate $3M aggressively over 15 years</t>
  </si>
  <si>
    <t>Maintain stable monthly income of $4,000</t>
  </si>
  <si>
    <t>Generate supplemental income of $2,000/month</t>
  </si>
  <si>
    <t>Maintain annual cash flow of $50K</t>
  </si>
  <si>
    <t>Generate $35K annual bond income</t>
  </si>
  <si>
    <t>Grow portfolio tax-efficiently to $5M</t>
  </si>
  <si>
    <t>Preserve $3M family wealth</t>
  </si>
  <si>
    <t>Maintain diversified allocation across $10M portfolio</t>
  </si>
  <si>
    <t>Transfer $5M estate efficiently</t>
  </si>
  <si>
    <t>Allocate $2M to private-market investments</t>
  </si>
  <si>
    <t>Generate $45K annual retirement income</t>
  </si>
  <si>
    <t>Preserve $1M principal against market volatility</t>
  </si>
  <si>
    <t>Maintain $3,500 monthly retirement income</t>
  </si>
  <si>
    <t>Transfer $3M estate to heirs</t>
  </si>
  <si>
    <t>***-**-4821 | US-A4829301</t>
  </si>
  <si>
    <t>Maintain retirement income of $3,500/month</t>
  </si>
  <si>
    <t>***-**-7734 | US-B1920374</t>
  </si>
  <si>
    <t>Preserve principal during market downturns below 10%</t>
  </si>
  <si>
    <t>***-**-3390 | SE-PA9928182</t>
  </si>
  <si>
    <t>Retire at age 62 with $2,800/month supplemental income</t>
  </si>
  <si>
    <t>***-**-5512 | NG-DC4401928</t>
  </si>
  <si>
    <t>Generate $2,000/month passive income</t>
  </si>
  <si>
    <t>***-**-8876 | US-C8837204</t>
  </si>
  <si>
    <t>Retire at 65 with $4,200/month income</t>
  </si>
  <si>
    <t>***-**-2240 | ZA-HM8821033</t>
  </si>
  <si>
    <t>Generate $4,500/month dividend income</t>
  </si>
  <si>
    <t>***-**-6614 | US-D2910482</t>
  </si>
  <si>
    <t>Supplement Social Security with $2,800/month</t>
  </si>
  <si>
    <t>***-**-9983 | SE-KL2209183</t>
  </si>
  <si>
    <t>Generate $5,000/month passive retirement income</t>
  </si>
  <si>
    <t>***-**-4477 | NG-FN7731204</t>
  </si>
  <si>
    <t>Generate $2,100/month recurring income</t>
  </si>
  <si>
    <t>***-**-1120 | SE-TB0019283</t>
  </si>
  <si>
    <t>Generate $6,800/month in dividends and distributions</t>
  </si>
  <si>
    <t>***-**-3381 | NG-GA2201938</t>
  </si>
  <si>
    <t>Minimize taxes on $150K annual RMD withdrawals</t>
  </si>
  <si>
    <t>***-**-7029 | US-E5520183</t>
  </si>
  <si>
    <t>Maintain $4,000/month income with minimal volatility</t>
  </si>
  <si>
    <t>***-**-8802 | US-F9901748</t>
  </si>
  <si>
    <t>Cover Medicare gap expenses of $48K</t>
  </si>
  <si>
    <t>***-**-5541 | GH-FO3301842</t>
  </si>
  <si>
    <t>Downsize from family home to condo (net equity goal $150K)</t>
  </si>
  <si>
    <t>***-**-6677 | SE-SN0029384</t>
  </si>
  <si>
    <t>Generate $7,500/month retirement distribution</t>
  </si>
  <si>
    <t>***-**-2293 | NG-MI4401839</t>
  </si>
  <si>
    <t>Purchase first suburban home ($500K budget)</t>
  </si>
  <si>
    <t>***-**-3374 | NG-DO5511204</t>
  </si>
  <si>
    <t>Acquire $380K investment property</t>
  </si>
  <si>
    <t>***-**-6019 | RU-AP2219384</t>
  </si>
  <si>
    <t>Purchase starter home ($360K, 20% down)</t>
  </si>
  <si>
    <t>***-**-7712 | US-H8801938</t>
  </si>
  <si>
    <t>Purchase mountain cabin valued at $400K</t>
  </si>
  <si>
    <t>***-**-0021 | US-I1102938</t>
  </si>
  <si>
    <t>Fund $2M multi-generational trust</t>
  </si>
  <si>
    <t>***-**-3312 | SE-IS7701928</t>
  </si>
  <si>
    <t>Purchase $3M Marbella retirement villa</t>
  </si>
  <si>
    <t>***-**-4409 | NG-CA3301938</t>
  </si>
  <si>
    <t>Reserve $200K for IPO investments</t>
  </si>
  <si>
    <t>***-**-8834 | US-J0029384</t>
  </si>
  <si>
    <t>Endow university chair with $2M donation</t>
  </si>
  <si>
    <t>***-**-4418 | IN-PK9928472</t>
  </si>
  <si>
    <t>Accumulate $500K by age 40</t>
  </si>
  <si>
    <t>***-**-7734 | GH-TO1101928</t>
  </si>
  <si>
    <t>Achieve financial independence with $2M by age 45</t>
  </si>
  <si>
    <t>***-**-5523 | SN-AD7711029</t>
  </si>
  <si>
    <t>Accumulate $100K investable assets by age 30</t>
  </si>
  <si>
    <t>***-**-9940 | SE-NB8810293</t>
  </si>
  <si>
    <t>Accumulate $1M investable assets by age 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</si>
</sst>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-d"/>
    <numFmt numFmtId="165" formatCode="yyyy-mm-dd"/>
    <numFmt numFmtId="166" formatCode="mm/dd/yyyy"/>
    <numFmt numFmtId="167" formatCode="m/d/yyyy"/>
    <numFmt numFmtId="168" formatCode="&quot;$&quot;#,##0"/>
    <numFmt numFmtId="169" formatCode="yyyy-mm-dd h:mm:ss"/>
  </numFmts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9.0"/>
      <color rgb="FF1A4A8A"/>
      <name val="Arial"/>
    </font>
    <font>
      <b/>
      <sz val="9.0"/>
      <color rgb="FF1A5A1A"/>
      <name val="Arial"/>
    </font>
    <font>
      <b/>
      <sz val="9.0"/>
      <color rgb="FF000000"/>
      <name val="Arial"/>
    </font>
    <font>
      <b/>
      <sz val="9.0"/>
      <color rgb="FF1A6A3A"/>
      <name val="Arial"/>
    </font>
    <font>
      <b/>
      <sz val="9.0"/>
      <color rgb="FF7A5000"/>
      <name val="Arial"/>
    </font>
    <font>
      <b/>
      <sz val="9.0"/>
      <color rgb="FF3A2A8A"/>
      <name val="Arial"/>
    </font>
    <font>
      <b/>
      <sz val="9.0"/>
      <color rgb="FF8A3A1A"/>
      <name val="Arial"/>
    </font>
    <font>
      <b/>
      <sz val="9.0"/>
      <color rgb="FF8B0000"/>
      <name val="Arial"/>
    </font>
    <font>
      <b/>
      <sz val="9.0"/>
      <color rgb="FF8A1A4A"/>
      <name val="Arial"/>
    </font>
    <font>
      <sz val="11.0"/>
      <color theme="1"/>
      <name val="Calibri"/>
    </font>
    <font>
      <b/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243660"/>
        <bgColor rgb="FF243660"/>
      </patternFill>
    </fill>
    <fill>
      <patternFill patternType="solid">
        <fgColor rgb="FFD6E8FF"/>
        <bgColor rgb="FFD6E8FF"/>
      </patternFill>
    </fill>
    <fill>
      <patternFill patternType="solid">
        <fgColor rgb="FFCCEECC"/>
        <bgColor rgb="FFCCEECC"/>
      </patternFill>
    </fill>
    <fill>
      <patternFill patternType="solid">
        <fgColor rgb="FFF5F6FA"/>
        <bgColor rgb="FFF5F6FA"/>
      </patternFill>
    </fill>
    <fill>
      <patternFill patternType="solid">
        <fgColor rgb="FFD6F0E0"/>
        <bgColor rgb="FFD6F0E0"/>
      </patternFill>
    </fill>
    <fill>
      <patternFill patternType="solid">
        <fgColor rgb="FFFFF3CC"/>
        <bgColor rgb="FFFFF3CC"/>
      </patternFill>
    </fill>
    <fill>
      <patternFill patternType="solid">
        <fgColor rgb="FFFFF3D6"/>
        <bgColor rgb="FFFFF3D6"/>
      </patternFill>
    </fill>
    <fill>
      <patternFill patternType="solid">
        <fgColor rgb="FFEDE8FF"/>
        <bgColor rgb="FFEDE8FF"/>
      </patternFill>
    </fill>
    <fill>
      <patternFill patternType="solid">
        <fgColor rgb="FFFFE8D6"/>
        <bgColor rgb="FFFFE8D6"/>
      </patternFill>
    </fill>
    <fill>
      <patternFill patternType="solid">
        <fgColor rgb="FFFFCCCC"/>
        <bgColor rgb="FFFFCCCC"/>
      </patternFill>
    </fill>
    <fill>
      <patternFill patternType="solid">
        <fgColor rgb="FFFFD6E8"/>
        <bgColor rgb="FFFFD6E8"/>
      </patternFill>
    </fill>
  </fills>
  <borders count="3">
    <border/>
    <border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readingOrder="0" shrinkToFit="0" wrapText="1"/>
    </xf>
    <xf borderId="0" fillId="3" fontId="4" numFmtId="0" xfId="0" applyAlignment="1" applyFill="1" applyFont="1">
      <alignment readingOrder="0"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9" xfId="0" applyAlignment="1" applyFont="1" applyNumberFormat="1">
      <alignment readingOrder="0" shrinkToFit="0" wrapText="1"/>
    </xf>
    <xf borderId="0" fillId="2" fontId="4" numFmtId="0" xfId="0" applyAlignment="1" applyFont="1">
      <alignment shrinkToFit="0" vertical="bottom" wrapText="1"/>
    </xf>
    <xf borderId="0" fillId="2" fontId="4" numFmtId="9" xfId="0" applyAlignment="1" applyFont="1" applyNumberFormat="1">
      <alignment horizontal="right" readingOrder="0" shrinkToFit="0" vertical="bottom" wrapText="1"/>
    </xf>
    <xf borderId="0" fillId="3" fontId="4" numFmtId="164" xfId="0" applyAlignment="1" applyFont="1" applyNumberFormat="1">
      <alignment horizontal="right" shrinkToFit="0" vertical="bottom" wrapText="1"/>
    </xf>
    <xf borderId="0" fillId="2" fontId="4" numFmtId="9" xfId="0" applyAlignment="1" applyFont="1" applyNumberFormat="1">
      <alignment horizontal="right" shrinkToFit="0" vertical="bottom" wrapText="1"/>
    </xf>
    <xf borderId="0" fillId="0" fontId="2" numFmtId="9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4" fontId="1" numFmtId="0" xfId="0" applyAlignment="1" applyFill="1" applyFont="1">
      <alignment shrinkToFit="0" vertical="bottom" wrapText="1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vertical="bottom"/>
    </xf>
    <xf borderId="0" fillId="4" fontId="1" numFmtId="0" xfId="0" applyAlignment="1" applyFont="1">
      <alignment readingOrder="0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shrinkToFit="0" vertical="bottom" wrapText="1"/>
    </xf>
    <xf borderId="0" fillId="5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Font="1"/>
    <xf borderId="0" fillId="0" fontId="2" numFmtId="4" xfId="0" applyAlignment="1" applyFont="1" applyNumberFormat="1">
      <alignment readingOrder="0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readingOrder="0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166" xfId="0" applyAlignment="1" applyFont="1" applyNumberFormat="1">
      <alignment readingOrder="0" shrinkToFit="0" vertical="bottom" wrapText="0"/>
    </xf>
    <xf borderId="0" fillId="0" fontId="6" numFmtId="167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167" xfId="0" applyAlignment="1" applyFont="1" applyNumberFormat="1">
      <alignment horizontal="right"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0" fontId="7" numFmtId="9" xfId="0" applyAlignment="1" applyFont="1" applyNumberFormat="1">
      <alignment horizontal="right" readingOrder="0" shrinkToFit="0" vertical="bottom" wrapText="0"/>
    </xf>
    <xf borderId="0" fillId="0" fontId="8" numFmtId="9" xfId="0" applyAlignment="1" applyFont="1" applyNumberFormat="1">
      <alignment horizontal="right" readingOrder="0" shrinkToFit="0" vertical="bottom" wrapText="0"/>
    </xf>
    <xf borderId="0" fillId="6" fontId="9" numFmtId="0" xfId="0" applyAlignment="1" applyFill="1" applyFont="1">
      <alignment horizontal="center" readingOrder="0"/>
    </xf>
    <xf borderId="1" fillId="6" fontId="9" numFmtId="0" xfId="0" applyAlignment="1" applyBorder="1" applyFont="1">
      <alignment horizontal="center" readingOrder="0"/>
    </xf>
    <xf borderId="1" fillId="7" fontId="10" numFmtId="0" xfId="0" applyAlignment="1" applyBorder="1" applyFill="1" applyFont="1">
      <alignment horizontal="center" readingOrder="0" shrinkToFit="0" wrapText="0"/>
    </xf>
    <xf borderId="1" fillId="7" fontId="10" numFmtId="0" xfId="0" applyAlignment="1" applyBorder="1" applyFont="1">
      <alignment horizontal="left" readingOrder="0"/>
    </xf>
    <xf borderId="1" fillId="7" fontId="10" numFmtId="165" xfId="0" applyAlignment="1" applyBorder="1" applyFont="1" applyNumberFormat="1">
      <alignment horizontal="center" readingOrder="0" shrinkToFit="0" wrapText="0"/>
    </xf>
    <xf borderId="1" fillId="7" fontId="11" numFmtId="0" xfId="0" applyAlignment="1" applyBorder="1" applyFont="1">
      <alignment horizontal="left" readingOrder="0"/>
    </xf>
    <xf borderId="1" fillId="8" fontId="12" numFmtId="0" xfId="0" applyAlignment="1" applyBorder="1" applyFill="1" applyFont="1">
      <alignment horizontal="center" readingOrder="0" shrinkToFit="0" wrapText="0"/>
    </xf>
    <xf borderId="1" fillId="7" fontId="10" numFmtId="168" xfId="0" applyAlignment="1" applyBorder="1" applyFont="1" applyNumberFormat="1">
      <alignment horizontal="center" readingOrder="0" shrinkToFit="0" wrapText="0"/>
    </xf>
    <xf borderId="1" fillId="7" fontId="10" numFmtId="0" xfId="0" applyAlignment="1" applyBorder="1" applyFont="1">
      <alignment horizontal="center" shrinkToFit="0" wrapText="0"/>
    </xf>
    <xf borderId="1" fillId="7" fontId="10" numFmtId="9" xfId="0" applyAlignment="1" applyBorder="1" applyFont="1" applyNumberFormat="1">
      <alignment horizontal="center" readingOrder="0" shrinkToFit="0" wrapText="0"/>
    </xf>
    <xf borderId="1" fillId="0" fontId="13" numFmtId="10" xfId="0" applyAlignment="1" applyBorder="1" applyFont="1" applyNumberFormat="1">
      <alignment horizontal="center" readingOrder="0" shrinkToFit="0" wrapText="0"/>
    </xf>
    <xf borderId="1" fillId="9" fontId="10" numFmtId="0" xfId="0" applyAlignment="1" applyBorder="1" applyFill="1" applyFont="1">
      <alignment horizontal="center" readingOrder="0" shrinkToFit="0" wrapText="0"/>
    </xf>
    <xf borderId="1" fillId="9" fontId="10" numFmtId="0" xfId="0" applyAlignment="1" applyBorder="1" applyFont="1">
      <alignment horizontal="left" readingOrder="0"/>
    </xf>
    <xf borderId="1" fillId="9" fontId="10" numFmtId="165" xfId="0" applyAlignment="1" applyBorder="1" applyFont="1" applyNumberFormat="1">
      <alignment horizontal="center" readingOrder="0" shrinkToFit="0" wrapText="0"/>
    </xf>
    <xf borderId="1" fillId="9" fontId="10" numFmtId="168" xfId="0" applyAlignment="1" applyBorder="1" applyFont="1" applyNumberFormat="1">
      <alignment horizontal="center" readingOrder="0" shrinkToFit="0" wrapText="0"/>
    </xf>
    <xf borderId="1" fillId="9" fontId="10" numFmtId="0" xfId="0" applyAlignment="1" applyBorder="1" applyFont="1">
      <alignment horizontal="center" shrinkToFit="0" wrapText="0"/>
    </xf>
    <xf borderId="1" fillId="9" fontId="10" numFmtId="9" xfId="0" applyAlignment="1" applyBorder="1" applyFont="1" applyNumberFormat="1">
      <alignment horizontal="center" readingOrder="0" shrinkToFit="0" wrapText="0"/>
    </xf>
    <xf borderId="1" fillId="10" fontId="14" numFmtId="0" xfId="0" applyAlignment="1" applyBorder="1" applyFill="1" applyFont="1">
      <alignment horizontal="left" readingOrder="0"/>
    </xf>
    <xf borderId="1" fillId="11" fontId="15" numFmtId="0" xfId="0" applyAlignment="1" applyBorder="1" applyFill="1" applyFont="1">
      <alignment horizontal="center" readingOrder="0" shrinkToFit="0" wrapText="0"/>
    </xf>
    <xf borderId="1" fillId="10" fontId="10" numFmtId="0" xfId="0" applyAlignment="1" applyBorder="1" applyFont="1">
      <alignment horizontal="center" readingOrder="0" shrinkToFit="0" wrapText="0"/>
    </xf>
    <xf borderId="1" fillId="10" fontId="10" numFmtId="0" xfId="0" applyAlignment="1" applyBorder="1" applyFont="1">
      <alignment horizontal="left" readingOrder="0"/>
    </xf>
    <xf borderId="1" fillId="10" fontId="10" numFmtId="165" xfId="0" applyAlignment="1" applyBorder="1" applyFont="1" applyNumberFormat="1">
      <alignment horizontal="center" readingOrder="0" shrinkToFit="0" wrapText="0"/>
    </xf>
    <xf borderId="1" fillId="10" fontId="10" numFmtId="168" xfId="0" applyAlignment="1" applyBorder="1" applyFont="1" applyNumberFormat="1">
      <alignment horizontal="center" readingOrder="0" shrinkToFit="0" wrapText="0"/>
    </xf>
    <xf borderId="1" fillId="10" fontId="10" numFmtId="0" xfId="0" applyAlignment="1" applyBorder="1" applyFont="1">
      <alignment horizontal="center" shrinkToFit="0" wrapText="0"/>
    </xf>
    <xf borderId="1" fillId="10" fontId="10" numFmtId="9" xfId="0" applyAlignment="1" applyBorder="1" applyFont="1" applyNumberFormat="1">
      <alignment horizontal="center" readingOrder="0" shrinkToFit="0" wrapText="0"/>
    </xf>
    <xf borderId="1" fillId="12" fontId="10" numFmtId="0" xfId="0" applyAlignment="1" applyBorder="1" applyFill="1" applyFont="1">
      <alignment horizontal="center" readingOrder="0" shrinkToFit="0" wrapText="0"/>
    </xf>
    <xf borderId="1" fillId="12" fontId="10" numFmtId="0" xfId="0" applyAlignment="1" applyBorder="1" applyFont="1">
      <alignment horizontal="left" readingOrder="0"/>
    </xf>
    <xf borderId="1" fillId="12" fontId="10" numFmtId="165" xfId="0" applyAlignment="1" applyBorder="1" applyFont="1" applyNumberFormat="1">
      <alignment horizontal="center" readingOrder="0" shrinkToFit="0" wrapText="0"/>
    </xf>
    <xf borderId="1" fillId="12" fontId="15" numFmtId="0" xfId="0" applyAlignment="1" applyBorder="1" applyFont="1">
      <alignment horizontal="left" readingOrder="0"/>
    </xf>
    <xf borderId="1" fillId="12" fontId="10" numFmtId="168" xfId="0" applyAlignment="1" applyBorder="1" applyFont="1" applyNumberFormat="1">
      <alignment horizontal="center" readingOrder="0" shrinkToFit="0" wrapText="0"/>
    </xf>
    <xf borderId="1" fillId="12" fontId="10" numFmtId="0" xfId="0" applyAlignment="1" applyBorder="1" applyFont="1">
      <alignment horizontal="center" shrinkToFit="0" wrapText="0"/>
    </xf>
    <xf borderId="1" fillId="12" fontId="10" numFmtId="9" xfId="0" applyAlignment="1" applyBorder="1" applyFont="1" applyNumberFormat="1">
      <alignment horizontal="center" readingOrder="0" shrinkToFit="0" wrapText="0"/>
    </xf>
    <xf borderId="1" fillId="13" fontId="16" numFmtId="0" xfId="0" applyAlignment="1" applyBorder="1" applyFill="1" applyFont="1">
      <alignment horizontal="left" readingOrder="0"/>
    </xf>
    <xf borderId="1" fillId="13" fontId="10" numFmtId="0" xfId="0" applyAlignment="1" applyBorder="1" applyFont="1">
      <alignment horizontal="center" readingOrder="0" shrinkToFit="0" wrapText="0"/>
    </xf>
    <xf borderId="1" fillId="13" fontId="10" numFmtId="0" xfId="0" applyAlignment="1" applyBorder="1" applyFont="1">
      <alignment horizontal="left" readingOrder="0"/>
    </xf>
    <xf borderId="1" fillId="13" fontId="10" numFmtId="165" xfId="0" applyAlignment="1" applyBorder="1" applyFont="1" applyNumberFormat="1">
      <alignment horizontal="center" readingOrder="0" shrinkToFit="0" wrapText="0"/>
    </xf>
    <xf borderId="1" fillId="13" fontId="10" numFmtId="168" xfId="0" applyAlignment="1" applyBorder="1" applyFont="1" applyNumberFormat="1">
      <alignment horizontal="center" readingOrder="0" shrinkToFit="0" wrapText="0"/>
    </xf>
    <xf borderId="1" fillId="13" fontId="10" numFmtId="0" xfId="0" applyAlignment="1" applyBorder="1" applyFont="1">
      <alignment horizontal="center" shrinkToFit="0" wrapText="0"/>
    </xf>
    <xf borderId="1" fillId="13" fontId="10" numFmtId="9" xfId="0" applyAlignment="1" applyBorder="1" applyFont="1" applyNumberFormat="1">
      <alignment horizontal="center" readingOrder="0" shrinkToFit="0" wrapText="0"/>
    </xf>
    <xf borderId="1" fillId="14" fontId="10" numFmtId="0" xfId="0" applyAlignment="1" applyBorder="1" applyFill="1" applyFont="1">
      <alignment horizontal="center" readingOrder="0" shrinkToFit="0" wrapText="0"/>
    </xf>
    <xf borderId="1" fillId="14" fontId="10" numFmtId="0" xfId="0" applyAlignment="1" applyBorder="1" applyFont="1">
      <alignment horizontal="left" readingOrder="0"/>
    </xf>
    <xf borderId="1" fillId="14" fontId="10" numFmtId="165" xfId="0" applyAlignment="1" applyBorder="1" applyFont="1" applyNumberFormat="1">
      <alignment horizontal="center" readingOrder="0" shrinkToFit="0" wrapText="0"/>
    </xf>
    <xf borderId="1" fillId="14" fontId="17" numFmtId="0" xfId="0" applyAlignment="1" applyBorder="1" applyFont="1">
      <alignment horizontal="left" readingOrder="0"/>
    </xf>
    <xf borderId="1" fillId="15" fontId="18" numFmtId="0" xfId="0" applyAlignment="1" applyBorder="1" applyFill="1" applyFont="1">
      <alignment horizontal="center" readingOrder="0" shrinkToFit="0" wrapText="0"/>
    </xf>
    <xf borderId="1" fillId="14" fontId="10" numFmtId="168" xfId="0" applyAlignment="1" applyBorder="1" applyFont="1" applyNumberFormat="1">
      <alignment horizontal="center" readingOrder="0" shrinkToFit="0" wrapText="0"/>
    </xf>
    <xf borderId="1" fillId="14" fontId="10" numFmtId="0" xfId="0" applyAlignment="1" applyBorder="1" applyFont="1">
      <alignment horizontal="center" shrinkToFit="0" wrapText="0"/>
    </xf>
    <xf borderId="1" fillId="14" fontId="10" numFmtId="9" xfId="0" applyAlignment="1" applyBorder="1" applyFont="1" applyNumberFormat="1">
      <alignment horizontal="center" readingOrder="0" shrinkToFit="0" wrapText="0"/>
    </xf>
    <xf borderId="1" fillId="16" fontId="19" numFmtId="0" xfId="0" applyAlignment="1" applyBorder="1" applyFill="1" applyFont="1">
      <alignment horizontal="left" readingOrder="0"/>
    </xf>
    <xf borderId="1" fillId="16" fontId="10" numFmtId="0" xfId="0" applyAlignment="1" applyBorder="1" applyFont="1">
      <alignment horizontal="center" readingOrder="0" shrinkToFit="0" wrapText="0"/>
    </xf>
    <xf borderId="1" fillId="16" fontId="10" numFmtId="0" xfId="0" applyAlignment="1" applyBorder="1" applyFont="1">
      <alignment horizontal="left" readingOrder="0"/>
    </xf>
    <xf borderId="1" fillId="16" fontId="10" numFmtId="165" xfId="0" applyAlignment="1" applyBorder="1" applyFont="1" applyNumberFormat="1">
      <alignment horizontal="center" readingOrder="0" shrinkToFit="0" wrapText="0"/>
    </xf>
    <xf borderId="1" fillId="16" fontId="10" numFmtId="168" xfId="0" applyAlignment="1" applyBorder="1" applyFont="1" applyNumberFormat="1">
      <alignment horizontal="center" readingOrder="0" shrinkToFit="0" wrapText="0"/>
    </xf>
    <xf borderId="1" fillId="16" fontId="10" numFmtId="0" xfId="0" applyAlignment="1" applyBorder="1" applyFont="1">
      <alignment horizontal="center" shrinkToFit="0" wrapText="0"/>
    </xf>
    <xf borderId="1" fillId="16" fontId="10" numFmtId="9" xfId="0" applyAlignment="1" applyBorder="1" applyFont="1" applyNumberFormat="1">
      <alignment horizontal="center" readingOrder="0" shrinkToFit="0" wrapText="0"/>
    </xf>
    <xf borderId="0" fillId="0" fontId="20" numFmtId="0" xfId="0" applyFont="1"/>
    <xf borderId="2" fillId="0" fontId="21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9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4" t="s">
        <v>2</v>
      </c>
      <c r="F1" s="2"/>
      <c r="G1" s="2"/>
      <c r="H1" s="5" t="s">
        <v>3</v>
      </c>
      <c r="I1" s="6"/>
      <c r="J1" s="3"/>
      <c r="K1" s="1" t="s">
        <v>4</v>
      </c>
      <c r="L1" s="6"/>
      <c r="M1" s="2"/>
      <c r="N1" s="3" t="s">
        <v>5</v>
      </c>
      <c r="O1" s="2"/>
      <c r="P1" s="2"/>
      <c r="Q1" s="1" t="s">
        <v>6</v>
      </c>
      <c r="R1" s="6"/>
      <c r="S1" s="2"/>
      <c r="T1" s="1" t="s">
        <v>7</v>
      </c>
      <c r="U1" s="6"/>
      <c r="V1" s="2"/>
      <c r="W1" s="3"/>
      <c r="X1" s="2"/>
      <c r="Y1" s="2"/>
      <c r="Z1" s="2"/>
    </row>
    <row r="2">
      <c r="A2" s="7" t="s">
        <v>8</v>
      </c>
      <c r="B2" s="7" t="s">
        <v>9</v>
      </c>
      <c r="C2" s="2"/>
      <c r="D2" s="7" t="s">
        <v>10</v>
      </c>
      <c r="E2" s="7" t="s">
        <v>11</v>
      </c>
      <c r="F2" s="7" t="s">
        <v>12</v>
      </c>
      <c r="G2" s="2"/>
      <c r="H2" s="8" t="s">
        <v>13</v>
      </c>
      <c r="I2" s="9" t="s">
        <v>12</v>
      </c>
      <c r="J2" s="4"/>
      <c r="K2" s="10" t="s">
        <v>14</v>
      </c>
      <c r="L2" s="10" t="s">
        <v>15</v>
      </c>
      <c r="M2" s="2"/>
      <c r="N2" s="11" t="s">
        <v>16</v>
      </c>
      <c r="O2" s="11" t="s">
        <v>15</v>
      </c>
      <c r="P2" s="2"/>
      <c r="Q2" s="10" t="s">
        <v>17</v>
      </c>
      <c r="R2" s="10" t="s">
        <v>15</v>
      </c>
      <c r="S2" s="4"/>
      <c r="T2" s="10" t="s">
        <v>18</v>
      </c>
      <c r="U2" s="10" t="s">
        <v>15</v>
      </c>
      <c r="V2" s="2"/>
      <c r="W2" s="4"/>
      <c r="X2" s="4"/>
      <c r="Y2" s="2"/>
      <c r="Z2" s="2"/>
    </row>
    <row r="3">
      <c r="A3" s="12" t="s">
        <v>19</v>
      </c>
      <c r="B3" s="12" t="s">
        <v>20</v>
      </c>
      <c r="C3" s="2"/>
      <c r="D3" s="12" t="s">
        <v>21</v>
      </c>
      <c r="E3" s="13">
        <v>0.5</v>
      </c>
      <c r="F3" s="12" t="s">
        <v>22</v>
      </c>
      <c r="G3" s="2"/>
      <c r="H3" s="9" t="s">
        <v>23</v>
      </c>
      <c r="I3" s="9" t="s">
        <v>24</v>
      </c>
      <c r="J3" s="4"/>
      <c r="K3" s="10" t="s">
        <v>25</v>
      </c>
      <c r="L3" s="10" t="s">
        <v>23</v>
      </c>
      <c r="M3" s="2"/>
      <c r="N3" s="11" t="s">
        <v>26</v>
      </c>
      <c r="O3" s="11" t="s">
        <v>23</v>
      </c>
      <c r="P3" s="2"/>
      <c r="Q3" s="10" t="s">
        <v>27</v>
      </c>
      <c r="R3" s="10" t="s">
        <v>23</v>
      </c>
      <c r="S3" s="4"/>
      <c r="T3" s="10" t="s">
        <v>28</v>
      </c>
      <c r="U3" s="10" t="s">
        <v>23</v>
      </c>
      <c r="V3" s="2"/>
      <c r="W3" s="4"/>
      <c r="X3" s="4"/>
      <c r="Y3" s="2"/>
      <c r="Z3" s="2"/>
    </row>
    <row r="4">
      <c r="A4" s="12" t="s">
        <v>29</v>
      </c>
      <c r="B4" s="12" t="s">
        <v>30</v>
      </c>
      <c r="C4" s="2"/>
      <c r="D4" s="14" t="s">
        <v>31</v>
      </c>
      <c r="E4" s="15">
        <v>0.25</v>
      </c>
      <c r="F4" s="14" t="s">
        <v>32</v>
      </c>
      <c r="G4" s="2"/>
      <c r="H4" s="9" t="s">
        <v>33</v>
      </c>
      <c r="I4" s="9" t="s">
        <v>34</v>
      </c>
      <c r="J4" s="4"/>
      <c r="K4" s="16">
        <v>46249.0</v>
      </c>
      <c r="L4" s="10" t="s">
        <v>33</v>
      </c>
      <c r="M4" s="2"/>
      <c r="N4" s="11" t="s">
        <v>35</v>
      </c>
      <c r="O4" s="11" t="s">
        <v>33</v>
      </c>
      <c r="P4" s="2"/>
      <c r="Q4" s="10" t="s">
        <v>36</v>
      </c>
      <c r="R4" s="10" t="s">
        <v>33</v>
      </c>
      <c r="S4" s="4"/>
      <c r="T4" s="10" t="s">
        <v>37</v>
      </c>
      <c r="U4" s="10" t="s">
        <v>33</v>
      </c>
      <c r="V4" s="2"/>
      <c r="W4" s="4"/>
      <c r="X4" s="4"/>
      <c r="Y4" s="2"/>
      <c r="Z4" s="2"/>
    </row>
    <row r="5">
      <c r="A5" s="12" t="s">
        <v>38</v>
      </c>
      <c r="B5" s="12" t="s">
        <v>39</v>
      </c>
      <c r="C5" s="2"/>
      <c r="D5" s="14" t="s">
        <v>40</v>
      </c>
      <c r="E5" s="17">
        <v>0.1</v>
      </c>
      <c r="F5" s="14" t="s">
        <v>41</v>
      </c>
      <c r="G5" s="2"/>
      <c r="H5" s="9" t="s">
        <v>42</v>
      </c>
      <c r="I5" s="9" t="s">
        <v>43</v>
      </c>
      <c r="J5" s="4"/>
      <c r="K5" s="10" t="s">
        <v>44</v>
      </c>
      <c r="L5" s="10" t="s">
        <v>42</v>
      </c>
      <c r="M5" s="2"/>
      <c r="N5" s="11" t="s">
        <v>45</v>
      </c>
      <c r="O5" s="11" t="s">
        <v>42</v>
      </c>
      <c r="P5" s="2"/>
      <c r="Q5" s="10" t="s">
        <v>46</v>
      </c>
      <c r="R5" s="10" t="s">
        <v>42</v>
      </c>
      <c r="S5" s="4"/>
      <c r="T5" s="10" t="s">
        <v>47</v>
      </c>
      <c r="U5" s="10" t="s">
        <v>42</v>
      </c>
      <c r="V5" s="2"/>
      <c r="W5" s="4"/>
      <c r="X5" s="4"/>
      <c r="Y5" s="2"/>
      <c r="Z5" s="2"/>
    </row>
    <row r="6">
      <c r="A6" s="12" t="s">
        <v>48</v>
      </c>
      <c r="B6" s="12" t="s">
        <v>49</v>
      </c>
      <c r="C6" s="2"/>
      <c r="D6" s="14" t="s">
        <v>50</v>
      </c>
      <c r="E6" s="17">
        <v>0.1</v>
      </c>
      <c r="F6" s="14" t="s">
        <v>51</v>
      </c>
      <c r="G6" s="2"/>
      <c r="H6" s="9" t="s">
        <v>52</v>
      </c>
      <c r="I6" s="9" t="s">
        <v>53</v>
      </c>
      <c r="J6" s="4"/>
      <c r="K6" s="10" t="s">
        <v>54</v>
      </c>
      <c r="L6" s="10" t="s">
        <v>52</v>
      </c>
      <c r="M6" s="2"/>
      <c r="N6" s="11" t="s">
        <v>55</v>
      </c>
      <c r="O6" s="11" t="s">
        <v>52</v>
      </c>
      <c r="P6" s="2"/>
      <c r="Q6" s="10" t="s">
        <v>56</v>
      </c>
      <c r="R6" s="10" t="s">
        <v>52</v>
      </c>
      <c r="S6" s="4"/>
      <c r="T6" s="10" t="s">
        <v>57</v>
      </c>
      <c r="U6" s="10" t="s">
        <v>52</v>
      </c>
      <c r="V6" s="2"/>
      <c r="W6" s="4"/>
      <c r="X6" s="4"/>
      <c r="Y6" s="2"/>
      <c r="Z6" s="2"/>
    </row>
    <row r="7">
      <c r="A7" s="2"/>
      <c r="B7" s="18"/>
      <c r="C7" s="2"/>
      <c r="D7" s="14" t="s">
        <v>58</v>
      </c>
      <c r="E7" s="17">
        <v>0.05</v>
      </c>
      <c r="F7" s="14" t="s">
        <v>59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9">
      <c r="A9" s="19" t="s">
        <v>60</v>
      </c>
      <c r="B9" s="19" t="s">
        <v>61</v>
      </c>
      <c r="C9" s="19" t="s">
        <v>62</v>
      </c>
      <c r="D9" s="6" t="s">
        <v>14</v>
      </c>
      <c r="E9" s="6" t="s">
        <v>63</v>
      </c>
      <c r="F9" s="6" t="s">
        <v>64</v>
      </c>
      <c r="G9" s="6" t="s">
        <v>13</v>
      </c>
      <c r="H9" s="6" t="s">
        <v>65</v>
      </c>
      <c r="I9" s="6" t="s">
        <v>66</v>
      </c>
      <c r="J9" s="6" t="s">
        <v>67</v>
      </c>
      <c r="K9" s="6" t="s">
        <v>68</v>
      </c>
      <c r="L9" s="6" t="s">
        <v>69</v>
      </c>
      <c r="M9" s="6" t="s">
        <v>9</v>
      </c>
      <c r="N9" s="6"/>
    </row>
    <row r="10">
      <c r="A10" s="19" t="s">
        <v>70</v>
      </c>
      <c r="B10" s="19" t="s">
        <v>71</v>
      </c>
      <c r="C10" s="19">
        <v>2.5</v>
      </c>
      <c r="D10" s="20">
        <v>5.0</v>
      </c>
      <c r="E10" s="20">
        <v>0.7</v>
      </c>
      <c r="F10" s="20">
        <v>62.0</v>
      </c>
      <c r="G10" s="20">
        <v>0.31</v>
      </c>
      <c r="H10" s="20">
        <v>0.17</v>
      </c>
      <c r="I10" s="20">
        <v>0.14</v>
      </c>
      <c r="J10" s="20">
        <v>0.45</v>
      </c>
      <c r="K10" s="20">
        <v>0.0</v>
      </c>
      <c r="L10" s="20">
        <v>24.0</v>
      </c>
      <c r="M10" s="6" t="s">
        <v>20</v>
      </c>
      <c r="N10" s="6"/>
    </row>
    <row r="11">
      <c r="A11" s="19" t="s">
        <v>72</v>
      </c>
      <c r="B11" s="19" t="s">
        <v>71</v>
      </c>
      <c r="C11" s="19">
        <v>2.2</v>
      </c>
      <c r="D11" s="20">
        <v>3.0</v>
      </c>
      <c r="E11" s="20">
        <v>0.3</v>
      </c>
      <c r="F11" s="20">
        <v>60.0</v>
      </c>
      <c r="G11" s="20">
        <v>0.27</v>
      </c>
      <c r="H11" s="20">
        <v>0.1</v>
      </c>
      <c r="I11" s="20">
        <v>0.06</v>
      </c>
      <c r="J11" s="20">
        <v>0.25</v>
      </c>
      <c r="K11" s="20">
        <v>0.0</v>
      </c>
      <c r="L11" s="20">
        <v>20.0</v>
      </c>
      <c r="M11" s="6" t="s">
        <v>20</v>
      </c>
      <c r="N11" s="6"/>
    </row>
    <row r="12">
      <c r="A12" s="19" t="s">
        <v>73</v>
      </c>
      <c r="B12" s="19" t="s">
        <v>71</v>
      </c>
      <c r="C12" s="19">
        <v>3.5</v>
      </c>
      <c r="D12" s="20">
        <v>18.0</v>
      </c>
      <c r="E12" s="20">
        <v>0.5</v>
      </c>
      <c r="F12" s="20">
        <v>70.0</v>
      </c>
      <c r="G12" s="20">
        <v>0.44</v>
      </c>
      <c r="H12" s="20">
        <v>0.6</v>
      </c>
      <c r="I12" s="20">
        <v>0.1</v>
      </c>
      <c r="J12" s="20">
        <v>0.6</v>
      </c>
      <c r="K12" s="20">
        <v>0.14</v>
      </c>
      <c r="L12" s="20">
        <v>45.0</v>
      </c>
      <c r="M12" s="6" t="s">
        <v>30</v>
      </c>
      <c r="N12" s="6"/>
    </row>
    <row r="13">
      <c r="A13" s="19" t="s">
        <v>74</v>
      </c>
      <c r="B13" s="19" t="s">
        <v>71</v>
      </c>
      <c r="C13" s="19">
        <v>4.0</v>
      </c>
      <c r="D13" s="20">
        <v>8.0</v>
      </c>
      <c r="E13" s="20">
        <v>1.5</v>
      </c>
      <c r="F13" s="20">
        <v>58.0</v>
      </c>
      <c r="G13" s="20">
        <v>0.5</v>
      </c>
      <c r="H13" s="20">
        <v>0.27</v>
      </c>
      <c r="I13" s="20">
        <v>0.3</v>
      </c>
      <c r="J13" s="20">
        <v>0.65</v>
      </c>
      <c r="K13" s="20">
        <v>0.0</v>
      </c>
      <c r="L13" s="20">
        <v>50.0</v>
      </c>
      <c r="M13" s="6" t="s">
        <v>30</v>
      </c>
      <c r="N13" s="6"/>
    </row>
    <row r="14">
      <c r="A14" s="19" t="s">
        <v>75</v>
      </c>
      <c r="B14" s="19" t="s">
        <v>71</v>
      </c>
      <c r="C14" s="19">
        <v>8.5</v>
      </c>
      <c r="D14" s="20">
        <v>35.0</v>
      </c>
      <c r="E14" s="20">
        <v>3.5</v>
      </c>
      <c r="F14" s="20">
        <v>65.0</v>
      </c>
      <c r="G14" s="20">
        <v>1.0</v>
      </c>
      <c r="H14" s="20">
        <v>1.0</v>
      </c>
      <c r="I14" s="20">
        <v>0.7</v>
      </c>
      <c r="J14" s="20">
        <v>0.4</v>
      </c>
      <c r="K14" s="20">
        <v>0.0</v>
      </c>
      <c r="L14" s="20">
        <v>91.0</v>
      </c>
      <c r="M14" s="6" t="s">
        <v>49</v>
      </c>
      <c r="N14" s="6"/>
    </row>
    <row r="15"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19" t="s">
        <v>76</v>
      </c>
      <c r="B16" s="19" t="s">
        <v>77</v>
      </c>
      <c r="C16" s="19">
        <v>3.2</v>
      </c>
      <c r="D16" s="20">
        <v>4.0</v>
      </c>
      <c r="E16" s="20">
        <v>0.4</v>
      </c>
      <c r="F16" s="20">
        <v>55.0</v>
      </c>
      <c r="G16" s="20">
        <v>0.27</v>
      </c>
      <c r="H16" s="20">
        <v>0.13</v>
      </c>
      <c r="I16" s="20">
        <v>0.08</v>
      </c>
      <c r="J16" s="20">
        <v>0.55</v>
      </c>
      <c r="K16" s="20">
        <v>0.0</v>
      </c>
      <c r="L16" s="20">
        <v>27.0</v>
      </c>
      <c r="M16" s="6" t="s">
        <v>20</v>
      </c>
      <c r="N16" s="6"/>
    </row>
    <row r="17">
      <c r="A17" s="19" t="s">
        <v>78</v>
      </c>
      <c r="B17" s="19" t="s">
        <v>77</v>
      </c>
      <c r="C17" s="19">
        <v>3.5</v>
      </c>
      <c r="D17" s="20">
        <v>7.0</v>
      </c>
      <c r="E17" s="20">
        <v>0.5</v>
      </c>
      <c r="F17" s="20">
        <v>58.0</v>
      </c>
      <c r="G17" s="20">
        <v>0.29</v>
      </c>
      <c r="H17" s="20">
        <v>0.23</v>
      </c>
      <c r="I17" s="20">
        <v>0.1</v>
      </c>
      <c r="J17" s="20">
        <v>0.35</v>
      </c>
      <c r="K17" s="20">
        <v>0.0</v>
      </c>
      <c r="L17" s="20">
        <v>29.0</v>
      </c>
      <c r="M17" s="6" t="s">
        <v>20</v>
      </c>
      <c r="N17" s="6"/>
    </row>
    <row r="18">
      <c r="A18" s="19" t="s">
        <v>79</v>
      </c>
      <c r="B18" s="19" t="s">
        <v>77</v>
      </c>
      <c r="C18" s="19">
        <v>4.0</v>
      </c>
      <c r="D18" s="20">
        <v>18.0</v>
      </c>
      <c r="E18" s="20">
        <v>0.5</v>
      </c>
      <c r="F18" s="20">
        <v>55.0</v>
      </c>
      <c r="G18" s="20">
        <v>0.33</v>
      </c>
      <c r="H18" s="20">
        <v>0.6</v>
      </c>
      <c r="I18" s="20">
        <v>0.1</v>
      </c>
      <c r="J18" s="20">
        <v>0.15</v>
      </c>
      <c r="K18" s="20">
        <v>0.0</v>
      </c>
      <c r="L18" s="20">
        <v>39.0</v>
      </c>
      <c r="M18" s="6" t="s">
        <v>20</v>
      </c>
      <c r="N18" s="6"/>
    </row>
    <row r="19">
      <c r="A19" s="19" t="s">
        <v>80</v>
      </c>
      <c r="B19" s="19" t="s">
        <v>77</v>
      </c>
      <c r="C19" s="19">
        <v>6.0</v>
      </c>
      <c r="D19" s="20">
        <v>10.0</v>
      </c>
      <c r="E19" s="20">
        <v>1.5</v>
      </c>
      <c r="F19" s="20">
        <v>61.0</v>
      </c>
      <c r="G19" s="20">
        <v>0.5</v>
      </c>
      <c r="H19" s="20">
        <v>0.33</v>
      </c>
      <c r="I19" s="20">
        <v>0.3</v>
      </c>
      <c r="J19" s="20">
        <v>0.45</v>
      </c>
      <c r="K19" s="20">
        <v>0.0</v>
      </c>
      <c r="L19" s="20">
        <v>53.0</v>
      </c>
      <c r="M19" s="6" t="s">
        <v>30</v>
      </c>
      <c r="N19" s="6"/>
    </row>
    <row r="20">
      <c r="A20" s="19" t="s">
        <v>81</v>
      </c>
      <c r="B20" s="19" t="s">
        <v>77</v>
      </c>
      <c r="C20" s="19">
        <v>12.5</v>
      </c>
      <c r="D20" s="20">
        <v>40.0</v>
      </c>
      <c r="E20" s="20">
        <v>4.5</v>
      </c>
      <c r="F20" s="20">
        <v>67.0</v>
      </c>
      <c r="G20" s="20">
        <v>1.0</v>
      </c>
      <c r="H20" s="20">
        <v>1.0</v>
      </c>
      <c r="I20" s="20">
        <v>0.9</v>
      </c>
      <c r="J20" s="20">
        <v>0.75</v>
      </c>
      <c r="K20" s="20">
        <v>0.0</v>
      </c>
      <c r="L20" s="20">
        <v>94.0</v>
      </c>
      <c r="M20" s="6" t="s">
        <v>49</v>
      </c>
      <c r="N20" s="6"/>
    </row>
    <row r="21"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>
      <c r="A22" s="19" t="s">
        <v>82</v>
      </c>
      <c r="B22" s="19" t="s">
        <v>83</v>
      </c>
      <c r="C22" s="19">
        <v>5.0</v>
      </c>
      <c r="D22" s="20">
        <v>5.0</v>
      </c>
      <c r="E22" s="20">
        <v>1.0</v>
      </c>
      <c r="F22" s="20">
        <v>80.0</v>
      </c>
      <c r="G22" s="20">
        <v>0.33</v>
      </c>
      <c r="H22" s="20">
        <v>0.17</v>
      </c>
      <c r="I22" s="20">
        <v>0.2</v>
      </c>
      <c r="J22" s="20">
        <v>0.25</v>
      </c>
      <c r="K22" s="20">
        <v>0.0</v>
      </c>
      <c r="L22" s="20">
        <v>35.0</v>
      </c>
      <c r="M22" s="6" t="s">
        <v>20</v>
      </c>
      <c r="N22" s="6"/>
    </row>
    <row r="23">
      <c r="A23" s="19" t="s">
        <v>84</v>
      </c>
      <c r="B23" s="19" t="s">
        <v>83</v>
      </c>
      <c r="C23" s="19">
        <v>4.0</v>
      </c>
      <c r="D23" s="20">
        <v>4.0</v>
      </c>
      <c r="E23" s="20">
        <v>1.0</v>
      </c>
      <c r="F23" s="20">
        <v>80.0</v>
      </c>
      <c r="G23" s="20">
        <v>0.27</v>
      </c>
      <c r="H23" s="20">
        <v>0.13</v>
      </c>
      <c r="I23" s="20">
        <v>0.2</v>
      </c>
      <c r="J23" s="20">
        <v>0.1</v>
      </c>
      <c r="K23" s="20">
        <v>0.0</v>
      </c>
      <c r="L23" s="20">
        <v>26.0</v>
      </c>
      <c r="M23" s="6" t="s">
        <v>20</v>
      </c>
      <c r="N23" s="6"/>
    </row>
    <row r="24">
      <c r="A24" s="19" t="s">
        <v>85</v>
      </c>
      <c r="B24" s="19" t="s">
        <v>83</v>
      </c>
      <c r="C24" s="19">
        <v>7.5</v>
      </c>
      <c r="D24" s="20">
        <v>12.0</v>
      </c>
      <c r="E24" s="20">
        <v>2.5</v>
      </c>
      <c r="F24" s="20">
        <v>87.5</v>
      </c>
      <c r="G24" s="20">
        <v>0.5</v>
      </c>
      <c r="H24" s="20">
        <v>0.4</v>
      </c>
      <c r="I24" s="20">
        <v>0.5</v>
      </c>
      <c r="J24" s="20">
        <v>0.75</v>
      </c>
      <c r="K24" s="20">
        <v>0.17</v>
      </c>
      <c r="L24" s="20">
        <v>59.0</v>
      </c>
      <c r="M24" s="6" t="s">
        <v>30</v>
      </c>
      <c r="N24" s="6"/>
    </row>
    <row r="25">
      <c r="A25" s="19" t="s">
        <v>86</v>
      </c>
      <c r="B25" s="19" t="s">
        <v>83</v>
      </c>
      <c r="C25" s="19">
        <v>8.0</v>
      </c>
      <c r="D25" s="20">
        <v>10.0</v>
      </c>
      <c r="E25" s="20">
        <v>2.0</v>
      </c>
      <c r="F25" s="20">
        <v>88.0</v>
      </c>
      <c r="G25" s="20">
        <v>0.53</v>
      </c>
      <c r="H25" s="20">
        <v>0.33</v>
      </c>
      <c r="I25" s="20">
        <v>0.4</v>
      </c>
      <c r="J25" s="20">
        <v>0.85</v>
      </c>
      <c r="K25" s="20">
        <v>0.2</v>
      </c>
      <c r="L25" s="20">
        <v>62.0</v>
      </c>
      <c r="M25" s="6" t="s">
        <v>39</v>
      </c>
      <c r="N25" s="6"/>
    </row>
    <row r="26">
      <c r="A26" s="19" t="s">
        <v>87</v>
      </c>
      <c r="B26" s="19" t="s">
        <v>83</v>
      </c>
      <c r="C26" s="19">
        <v>16.0</v>
      </c>
      <c r="D26" s="20">
        <v>35.0</v>
      </c>
      <c r="E26" s="20">
        <v>6.0</v>
      </c>
      <c r="F26" s="20">
        <v>93.0</v>
      </c>
      <c r="G26" s="20">
        <v>1.0</v>
      </c>
      <c r="H26" s="20">
        <v>1.0</v>
      </c>
      <c r="I26" s="20">
        <v>1.0</v>
      </c>
      <c r="J26" s="20">
        <v>1.0</v>
      </c>
      <c r="K26" s="20">
        <v>0.53</v>
      </c>
      <c r="L26" s="20">
        <v>98.0</v>
      </c>
      <c r="M26" s="6" t="s">
        <v>49</v>
      </c>
      <c r="N26" s="6"/>
    </row>
    <row r="27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19" t="s">
        <v>88</v>
      </c>
      <c r="B28" s="19" t="s">
        <v>89</v>
      </c>
      <c r="C28" s="19">
        <v>3.5</v>
      </c>
      <c r="D28" s="20">
        <v>5.0</v>
      </c>
      <c r="E28" s="20">
        <v>0.5</v>
      </c>
      <c r="F28" s="20">
        <v>55.0</v>
      </c>
      <c r="G28" s="20">
        <v>0.35</v>
      </c>
      <c r="H28" s="20">
        <v>0.17</v>
      </c>
      <c r="I28" s="20">
        <v>0.1</v>
      </c>
      <c r="J28" s="20">
        <v>0.55</v>
      </c>
      <c r="K28" s="20">
        <v>0.0</v>
      </c>
      <c r="L28" s="20">
        <v>31.0</v>
      </c>
      <c r="M28" s="6" t="s">
        <v>20</v>
      </c>
      <c r="N28" s="6"/>
    </row>
    <row r="29">
      <c r="A29" s="19" t="s">
        <v>90</v>
      </c>
      <c r="B29" s="19" t="s">
        <v>89</v>
      </c>
      <c r="C29" s="19">
        <v>2.9</v>
      </c>
      <c r="D29" s="20">
        <v>4.0</v>
      </c>
      <c r="E29" s="20">
        <v>0.9</v>
      </c>
      <c r="F29" s="20">
        <v>55.0</v>
      </c>
      <c r="G29" s="20">
        <v>0.29</v>
      </c>
      <c r="H29" s="20">
        <v>0.13</v>
      </c>
      <c r="I29" s="20">
        <v>0.18</v>
      </c>
      <c r="J29" s="20">
        <v>0.25</v>
      </c>
      <c r="K29" s="20">
        <v>0.0</v>
      </c>
      <c r="L29" s="20">
        <v>24.0</v>
      </c>
      <c r="M29" s="6" t="s">
        <v>20</v>
      </c>
      <c r="N29" s="6"/>
    </row>
    <row r="30">
      <c r="A30" s="19" t="s">
        <v>91</v>
      </c>
      <c r="B30" s="19" t="s">
        <v>89</v>
      </c>
      <c r="C30" s="19">
        <v>5.0</v>
      </c>
      <c r="D30" s="20">
        <v>10.0</v>
      </c>
      <c r="E30" s="20">
        <v>1.5</v>
      </c>
      <c r="F30" s="20">
        <v>55.0</v>
      </c>
      <c r="G30" s="20">
        <v>0.5</v>
      </c>
      <c r="H30" s="20">
        <v>0.33</v>
      </c>
      <c r="I30" s="20">
        <v>0.3</v>
      </c>
      <c r="J30" s="20">
        <v>0.65</v>
      </c>
      <c r="K30" s="20">
        <v>0.0</v>
      </c>
      <c r="L30" s="20">
        <v>52.0</v>
      </c>
      <c r="M30" s="6" t="s">
        <v>30</v>
      </c>
      <c r="N30" s="6"/>
    </row>
    <row r="31">
      <c r="A31" s="19" t="s">
        <v>92</v>
      </c>
      <c r="B31" s="19" t="s">
        <v>89</v>
      </c>
      <c r="C31" s="19">
        <v>6.0</v>
      </c>
      <c r="D31" s="20">
        <v>12.0</v>
      </c>
      <c r="E31" s="20">
        <v>2.0</v>
      </c>
      <c r="F31" s="20">
        <v>49.0</v>
      </c>
      <c r="G31" s="20">
        <v>0.6</v>
      </c>
      <c r="H31" s="20">
        <v>0.4</v>
      </c>
      <c r="I31" s="20">
        <v>0.4</v>
      </c>
      <c r="J31" s="20">
        <v>0.85</v>
      </c>
      <c r="K31" s="20">
        <v>0.0</v>
      </c>
      <c r="L31" s="20">
        <v>61.0</v>
      </c>
      <c r="M31" s="6" t="s">
        <v>39</v>
      </c>
      <c r="N31" s="6"/>
    </row>
    <row r="32">
      <c r="A32" s="19" t="s">
        <v>93</v>
      </c>
      <c r="B32" s="19" t="s">
        <v>89</v>
      </c>
      <c r="C32" s="19">
        <v>10.5</v>
      </c>
      <c r="D32" s="20">
        <v>32.0</v>
      </c>
      <c r="E32" s="20">
        <v>3.5</v>
      </c>
      <c r="F32" s="20">
        <v>43.0</v>
      </c>
      <c r="G32" s="20">
        <v>1.0</v>
      </c>
      <c r="H32" s="20">
        <v>1.0</v>
      </c>
      <c r="I32" s="20">
        <v>0.7</v>
      </c>
      <c r="J32" s="20">
        <v>0.55</v>
      </c>
      <c r="K32" s="20">
        <v>0.0</v>
      </c>
      <c r="L32" s="20">
        <v>88.0</v>
      </c>
      <c r="M32" s="6" t="s">
        <v>49</v>
      </c>
      <c r="N32" s="6"/>
    </row>
    <row r="33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A34" s="19" t="s">
        <v>94</v>
      </c>
      <c r="B34" s="19" t="s">
        <v>95</v>
      </c>
      <c r="C34" s="19">
        <v>2.0</v>
      </c>
      <c r="D34" s="20">
        <v>5.0</v>
      </c>
      <c r="E34" s="20">
        <v>0.5</v>
      </c>
      <c r="F34" s="20">
        <v>50.0</v>
      </c>
      <c r="G34" s="20">
        <v>0.25</v>
      </c>
      <c r="H34" s="20">
        <v>0.17</v>
      </c>
      <c r="I34" s="20">
        <v>0.1</v>
      </c>
      <c r="J34" s="20">
        <v>0.65</v>
      </c>
      <c r="K34" s="20">
        <v>0.0</v>
      </c>
      <c r="L34" s="20">
        <v>25.0</v>
      </c>
      <c r="M34" s="6" t="s">
        <v>20</v>
      </c>
      <c r="N34" s="6"/>
    </row>
    <row r="35">
      <c r="A35" s="19" t="s">
        <v>96</v>
      </c>
      <c r="B35" s="19" t="s">
        <v>95</v>
      </c>
      <c r="C35" s="19">
        <v>0.5</v>
      </c>
      <c r="D35" s="20">
        <v>3.0</v>
      </c>
      <c r="E35" s="20">
        <v>0.2</v>
      </c>
      <c r="F35" s="20">
        <v>60.0</v>
      </c>
      <c r="G35" s="20">
        <v>0.06</v>
      </c>
      <c r="H35" s="20">
        <v>0.1</v>
      </c>
      <c r="I35" s="20">
        <v>0.04</v>
      </c>
      <c r="J35" s="20">
        <v>0.2</v>
      </c>
      <c r="K35" s="20">
        <v>0.0</v>
      </c>
      <c r="L35" s="20">
        <v>8.0</v>
      </c>
      <c r="M35" s="6" t="s">
        <v>20</v>
      </c>
      <c r="N35" s="6"/>
    </row>
    <row r="36">
      <c r="A36" s="19" t="s">
        <v>97</v>
      </c>
      <c r="B36" s="19" t="s">
        <v>95</v>
      </c>
      <c r="C36" s="19">
        <v>4.0</v>
      </c>
      <c r="D36" s="20">
        <v>17.0</v>
      </c>
      <c r="E36" s="20">
        <v>0.8</v>
      </c>
      <c r="F36" s="20">
        <v>54.0</v>
      </c>
      <c r="G36" s="20">
        <v>0.5</v>
      </c>
      <c r="H36" s="20">
        <v>0.57</v>
      </c>
      <c r="I36" s="20">
        <v>0.16</v>
      </c>
      <c r="J36" s="20">
        <v>0.55</v>
      </c>
      <c r="K36" s="20">
        <v>0.0</v>
      </c>
      <c r="L36" s="20">
        <v>47.0</v>
      </c>
      <c r="M36" s="6" t="s">
        <v>30</v>
      </c>
      <c r="N36" s="6"/>
    </row>
    <row r="37">
      <c r="A37" s="19" t="s">
        <v>98</v>
      </c>
      <c r="B37" s="19" t="s">
        <v>95</v>
      </c>
      <c r="C37" s="19">
        <v>4.5</v>
      </c>
      <c r="D37" s="20">
        <v>20.0</v>
      </c>
      <c r="E37" s="20">
        <v>1.0</v>
      </c>
      <c r="F37" s="20">
        <v>48.0</v>
      </c>
      <c r="G37" s="20">
        <v>0.56</v>
      </c>
      <c r="H37" s="20">
        <v>0.67</v>
      </c>
      <c r="I37" s="20">
        <v>0.2</v>
      </c>
      <c r="J37" s="20">
        <v>0.85</v>
      </c>
      <c r="K37" s="20">
        <v>0.0</v>
      </c>
      <c r="L37" s="20">
        <v>58.0</v>
      </c>
      <c r="M37" s="6" t="s">
        <v>30</v>
      </c>
      <c r="N37" s="6"/>
    </row>
    <row r="38">
      <c r="A38" s="19" t="s">
        <v>99</v>
      </c>
      <c r="B38" s="19" t="s">
        <v>95</v>
      </c>
      <c r="C38" s="19">
        <v>9.2</v>
      </c>
      <c r="D38" s="20">
        <v>45.0</v>
      </c>
      <c r="E38" s="20">
        <v>2.2</v>
      </c>
      <c r="F38" s="20">
        <v>56.0</v>
      </c>
      <c r="G38" s="20">
        <v>1.0</v>
      </c>
      <c r="H38" s="20">
        <v>1.0</v>
      </c>
      <c r="I38" s="20">
        <v>0.44</v>
      </c>
      <c r="J38" s="20">
        <v>0.8</v>
      </c>
      <c r="K38" s="20">
        <v>0.0</v>
      </c>
      <c r="L38" s="20">
        <v>84.0</v>
      </c>
      <c r="M38" s="6" t="s">
        <v>49</v>
      </c>
      <c r="N38" s="6"/>
    </row>
    <row r="39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A40" s="19" t="s">
        <v>100</v>
      </c>
      <c r="B40" s="19" t="s">
        <v>101</v>
      </c>
      <c r="C40" s="19">
        <v>4.0</v>
      </c>
      <c r="D40" s="20">
        <v>5.0</v>
      </c>
      <c r="E40" s="20">
        <v>0.5</v>
      </c>
      <c r="F40" s="20">
        <v>55.0</v>
      </c>
      <c r="G40" s="20">
        <v>0.33</v>
      </c>
      <c r="H40" s="20">
        <v>0.17</v>
      </c>
      <c r="I40" s="20">
        <v>0.1</v>
      </c>
      <c r="J40" s="20">
        <v>0.95</v>
      </c>
      <c r="K40" s="20">
        <v>0.0</v>
      </c>
      <c r="L40" s="20">
        <v>33.0</v>
      </c>
      <c r="M40" s="6" t="s">
        <v>20</v>
      </c>
      <c r="N40" s="6"/>
    </row>
    <row r="41">
      <c r="A41" s="19" t="s">
        <v>102</v>
      </c>
      <c r="B41" s="19" t="s">
        <v>101</v>
      </c>
      <c r="C41" s="19">
        <v>1.2</v>
      </c>
      <c r="D41" s="20">
        <v>0.0</v>
      </c>
      <c r="E41" s="20">
        <v>0.2</v>
      </c>
      <c r="F41" s="20">
        <v>45.0</v>
      </c>
      <c r="G41" s="20">
        <v>0.1</v>
      </c>
      <c r="H41" s="20">
        <v>0.0</v>
      </c>
      <c r="I41" s="20">
        <v>0.04</v>
      </c>
      <c r="J41" s="20">
        <v>0.85</v>
      </c>
      <c r="K41" s="20">
        <v>0.0</v>
      </c>
      <c r="L41" s="20">
        <v>15.0</v>
      </c>
      <c r="M41" s="6" t="s">
        <v>20</v>
      </c>
      <c r="N41" s="6"/>
    </row>
    <row r="42">
      <c r="A42" s="19" t="s">
        <v>103</v>
      </c>
      <c r="B42" s="19" t="s">
        <v>101</v>
      </c>
      <c r="C42" s="19">
        <v>5.0</v>
      </c>
      <c r="D42" s="20">
        <v>10.0</v>
      </c>
      <c r="E42" s="20">
        <v>1.0</v>
      </c>
      <c r="F42" s="20">
        <v>50.0</v>
      </c>
      <c r="G42" s="20">
        <v>0.42</v>
      </c>
      <c r="H42" s="20">
        <v>0.33</v>
      </c>
      <c r="I42" s="20">
        <v>0.2</v>
      </c>
      <c r="J42" s="20">
        <v>0.55</v>
      </c>
      <c r="K42" s="20">
        <v>0.0</v>
      </c>
      <c r="L42" s="20">
        <v>43.0</v>
      </c>
      <c r="M42" s="6" t="s">
        <v>30</v>
      </c>
      <c r="N42" s="6"/>
    </row>
    <row r="43">
      <c r="A43" s="19" t="s">
        <v>104</v>
      </c>
      <c r="B43" s="19" t="s">
        <v>101</v>
      </c>
      <c r="C43" s="19">
        <v>7.0</v>
      </c>
      <c r="D43" s="20">
        <v>12.0</v>
      </c>
      <c r="E43" s="20">
        <v>2.0</v>
      </c>
      <c r="F43" s="20">
        <v>62.0</v>
      </c>
      <c r="G43" s="20">
        <v>0.58</v>
      </c>
      <c r="H43" s="20">
        <v>0.4</v>
      </c>
      <c r="I43" s="20">
        <v>0.4</v>
      </c>
      <c r="J43" s="20">
        <v>1.0</v>
      </c>
      <c r="K43" s="20">
        <v>0.0</v>
      </c>
      <c r="L43" s="20">
        <v>61.0</v>
      </c>
      <c r="M43" s="6" t="s">
        <v>39</v>
      </c>
      <c r="N43" s="6"/>
    </row>
    <row r="44">
      <c r="A44" s="19" t="s">
        <v>105</v>
      </c>
      <c r="B44" s="19" t="s">
        <v>101</v>
      </c>
      <c r="C44" s="19">
        <v>12.8</v>
      </c>
      <c r="D44" s="20">
        <v>35.0</v>
      </c>
      <c r="E44" s="20">
        <v>4.8</v>
      </c>
      <c r="F44" s="20">
        <v>70.0</v>
      </c>
      <c r="G44" s="20">
        <v>1.0</v>
      </c>
      <c r="H44" s="20">
        <v>1.0</v>
      </c>
      <c r="I44" s="20">
        <v>0.96</v>
      </c>
      <c r="J44" s="20">
        <v>1.0</v>
      </c>
      <c r="K44" s="20">
        <v>0.0</v>
      </c>
      <c r="L44" s="20">
        <v>95.0</v>
      </c>
      <c r="M44" s="6" t="s">
        <v>49</v>
      </c>
      <c r="N44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4"/>
      <c r="C1" s="4"/>
      <c r="D1" s="4"/>
      <c r="E1" s="4"/>
      <c r="F1" s="2"/>
      <c r="G1" s="5" t="s">
        <v>106</v>
      </c>
      <c r="H1" s="21"/>
      <c r="I1" s="21"/>
      <c r="J1" s="21"/>
      <c r="K1" s="21"/>
      <c r="L1" s="1" t="s">
        <v>107</v>
      </c>
      <c r="M1" s="21"/>
      <c r="N1" s="21"/>
      <c r="O1" s="6"/>
      <c r="P1" s="1" t="s">
        <v>108</v>
      </c>
      <c r="Q1" s="6"/>
      <c r="R1" s="6"/>
      <c r="T1" s="22" t="s">
        <v>109</v>
      </c>
    </row>
    <row r="2">
      <c r="A2" s="23" t="s">
        <v>110</v>
      </c>
      <c r="B2" s="23" t="s">
        <v>10</v>
      </c>
      <c r="C2" s="23" t="s">
        <v>111</v>
      </c>
      <c r="D2" s="23" t="s">
        <v>112</v>
      </c>
      <c r="E2" s="23" t="s">
        <v>113</v>
      </c>
      <c r="F2" s="2"/>
      <c r="G2" s="24" t="s">
        <v>61</v>
      </c>
      <c r="H2" s="25" t="s">
        <v>114</v>
      </c>
      <c r="I2" s="25" t="s">
        <v>115</v>
      </c>
      <c r="J2" s="26" t="s">
        <v>116</v>
      </c>
      <c r="K2" s="21"/>
      <c r="L2" s="25" t="s">
        <v>117</v>
      </c>
      <c r="M2" s="25" t="s">
        <v>114</v>
      </c>
      <c r="N2" s="25" t="s">
        <v>115</v>
      </c>
      <c r="O2" s="6"/>
      <c r="P2" s="24" t="s">
        <v>118</v>
      </c>
      <c r="Q2" s="27" t="s">
        <v>111</v>
      </c>
      <c r="R2" s="27" t="s">
        <v>112</v>
      </c>
      <c r="S2" s="2"/>
      <c r="T2" s="23" t="s">
        <v>118</v>
      </c>
      <c r="U2" s="23" t="s">
        <v>119</v>
      </c>
      <c r="V2" s="2"/>
      <c r="W2" s="2"/>
      <c r="X2" s="2"/>
    </row>
    <row r="3">
      <c r="A3" s="23" t="s">
        <v>120</v>
      </c>
      <c r="B3" s="12" t="s">
        <v>121</v>
      </c>
      <c r="C3" s="12" t="s">
        <v>122</v>
      </c>
      <c r="D3" s="12" t="s">
        <v>122</v>
      </c>
      <c r="E3" s="12" t="s">
        <v>123</v>
      </c>
      <c r="F3" s="2"/>
      <c r="G3" s="24" t="s">
        <v>71</v>
      </c>
      <c r="H3" s="28">
        <v>4.0</v>
      </c>
      <c r="I3" s="28">
        <v>8.0</v>
      </c>
      <c r="J3" s="29" t="s">
        <v>124</v>
      </c>
      <c r="K3" s="6"/>
      <c r="L3" s="25" t="s">
        <v>125</v>
      </c>
      <c r="M3" s="30">
        <v>5.0</v>
      </c>
      <c r="N3" s="30">
        <v>10.0</v>
      </c>
      <c r="O3" s="6"/>
      <c r="P3" s="24" t="s">
        <v>14</v>
      </c>
      <c r="Q3" s="30" t="s">
        <v>126</v>
      </c>
      <c r="R3" s="30" t="s">
        <v>127</v>
      </c>
      <c r="S3" s="2"/>
      <c r="T3" s="23" t="s">
        <v>128</v>
      </c>
      <c r="U3" s="12" t="s">
        <v>129</v>
      </c>
      <c r="V3" s="2"/>
      <c r="W3" s="2"/>
      <c r="X3" s="2"/>
    </row>
    <row r="4">
      <c r="A4" s="23" t="s">
        <v>130</v>
      </c>
      <c r="B4" s="12" t="s">
        <v>131</v>
      </c>
      <c r="C4" s="12" t="s">
        <v>132</v>
      </c>
      <c r="D4" s="12" t="s">
        <v>132</v>
      </c>
      <c r="E4" s="12" t="s">
        <v>133</v>
      </c>
      <c r="F4" s="2"/>
      <c r="G4" s="24" t="s">
        <v>77</v>
      </c>
      <c r="H4" s="28">
        <v>6.0</v>
      </c>
      <c r="I4" s="28">
        <v>12.0</v>
      </c>
      <c r="J4" s="29" t="s">
        <v>134</v>
      </c>
      <c r="K4" s="6"/>
      <c r="L4" s="25" t="s">
        <v>135</v>
      </c>
      <c r="M4" s="30">
        <v>3.0</v>
      </c>
      <c r="N4" s="30">
        <v>6.0</v>
      </c>
      <c r="O4" s="6"/>
      <c r="P4" s="24" t="s">
        <v>136</v>
      </c>
      <c r="Q4" s="30" t="s">
        <v>137</v>
      </c>
      <c r="R4" s="30" t="s">
        <v>138</v>
      </c>
      <c r="S4" s="2"/>
      <c r="T4" s="23" t="s">
        <v>139</v>
      </c>
      <c r="U4" s="12" t="s">
        <v>140</v>
      </c>
      <c r="V4" s="2"/>
      <c r="W4" s="2"/>
      <c r="X4" s="2"/>
    </row>
    <row r="5">
      <c r="A5" s="23" t="s">
        <v>141</v>
      </c>
      <c r="B5" s="12" t="s">
        <v>31</v>
      </c>
      <c r="C5" s="12" t="s">
        <v>126</v>
      </c>
      <c r="D5" s="12" t="s">
        <v>127</v>
      </c>
      <c r="E5" s="12" t="s">
        <v>142</v>
      </c>
      <c r="F5" s="2"/>
      <c r="G5" s="24" t="s">
        <v>83</v>
      </c>
      <c r="H5" s="28">
        <v>8.0</v>
      </c>
      <c r="I5" s="28">
        <v>15.0</v>
      </c>
      <c r="J5" s="29" t="s">
        <v>143</v>
      </c>
      <c r="K5" s="6"/>
      <c r="L5" s="25" t="s">
        <v>144</v>
      </c>
      <c r="M5" s="30">
        <v>2.0</v>
      </c>
      <c r="N5" s="30">
        <v>5.0</v>
      </c>
      <c r="O5" s="6"/>
      <c r="P5" s="6"/>
      <c r="Q5" s="6"/>
      <c r="R5" s="6"/>
      <c r="S5" s="2"/>
      <c r="T5" s="23" t="s">
        <v>145</v>
      </c>
      <c r="U5" s="12" t="s">
        <v>146</v>
      </c>
      <c r="V5" s="2"/>
      <c r="W5" s="2"/>
      <c r="X5" s="2"/>
    </row>
    <row r="6">
      <c r="A6" s="23" t="s">
        <v>141</v>
      </c>
      <c r="B6" s="12" t="s">
        <v>136</v>
      </c>
      <c r="C6" s="12" t="s">
        <v>137</v>
      </c>
      <c r="D6" s="12" t="s">
        <v>138</v>
      </c>
      <c r="E6" s="12" t="s">
        <v>147</v>
      </c>
      <c r="F6" s="2"/>
      <c r="G6" s="24" t="s">
        <v>89</v>
      </c>
      <c r="H6" s="28">
        <v>5.0</v>
      </c>
      <c r="I6" s="28">
        <v>10.0</v>
      </c>
      <c r="J6" s="29" t="s">
        <v>124</v>
      </c>
      <c r="K6" s="6"/>
      <c r="L6" s="25" t="s">
        <v>148</v>
      </c>
      <c r="M6" s="30">
        <v>4.0</v>
      </c>
      <c r="N6" s="30">
        <v>8.0</v>
      </c>
      <c r="O6" s="6"/>
      <c r="P6" s="6"/>
      <c r="Q6" s="6"/>
      <c r="R6" s="6"/>
      <c r="S6" s="2"/>
      <c r="T6" s="23" t="s">
        <v>149</v>
      </c>
      <c r="U6" s="12" t="s">
        <v>150</v>
      </c>
      <c r="V6" s="2"/>
      <c r="W6" s="2"/>
      <c r="X6" s="2"/>
    </row>
    <row r="7">
      <c r="F7" s="2"/>
      <c r="G7" s="24" t="s">
        <v>95</v>
      </c>
      <c r="H7" s="31">
        <v>4.0</v>
      </c>
      <c r="I7" s="31">
        <v>8.0</v>
      </c>
      <c r="J7" s="32" t="s">
        <v>124</v>
      </c>
      <c r="K7" s="6"/>
      <c r="L7" s="6"/>
      <c r="M7" s="6"/>
      <c r="N7" s="6"/>
      <c r="O7" s="6"/>
      <c r="P7" s="6"/>
      <c r="Q7" s="6"/>
      <c r="R7" s="6"/>
      <c r="S7" s="2"/>
      <c r="T7" s="23" t="s">
        <v>17</v>
      </c>
      <c r="U7" s="12" t="s">
        <v>151</v>
      </c>
      <c r="V7" s="2"/>
      <c r="W7" s="2"/>
      <c r="X7" s="2"/>
    </row>
    <row r="8">
      <c r="F8" s="2"/>
      <c r="G8" s="24" t="s">
        <v>152</v>
      </c>
      <c r="H8" s="33">
        <v>7.0</v>
      </c>
      <c r="I8" s="33">
        <v>12.0</v>
      </c>
      <c r="J8" s="32" t="s">
        <v>134</v>
      </c>
      <c r="K8" s="6"/>
      <c r="L8" s="6"/>
      <c r="M8" s="6"/>
      <c r="N8" s="6"/>
      <c r="O8" s="6"/>
      <c r="P8" s="6"/>
      <c r="Q8" s="6"/>
      <c r="R8" s="6"/>
      <c r="S8" s="2"/>
      <c r="T8" s="23" t="s">
        <v>153</v>
      </c>
      <c r="U8" s="12" t="s">
        <v>154</v>
      </c>
      <c r="V8" s="2"/>
      <c r="W8" s="2"/>
      <c r="X8" s="2"/>
    </row>
    <row r="10">
      <c r="A10" s="19" t="s">
        <v>155</v>
      </c>
      <c r="B10" s="19" t="s">
        <v>60</v>
      </c>
      <c r="C10" s="19" t="s">
        <v>61</v>
      </c>
      <c r="D10" s="19" t="s">
        <v>156</v>
      </c>
      <c r="E10" s="19" t="s">
        <v>157</v>
      </c>
      <c r="F10" s="19" t="s">
        <v>158</v>
      </c>
      <c r="G10" s="19" t="s">
        <v>159</v>
      </c>
      <c r="H10" s="19" t="s">
        <v>160</v>
      </c>
      <c r="I10" s="19" t="s">
        <v>161</v>
      </c>
      <c r="J10" s="19" t="s">
        <v>162</v>
      </c>
      <c r="K10" s="19" t="s">
        <v>163</v>
      </c>
      <c r="L10" s="19" t="s">
        <v>164</v>
      </c>
      <c r="M10" s="19" t="s">
        <v>165</v>
      </c>
      <c r="N10" s="34" t="s">
        <v>166</v>
      </c>
      <c r="O10" s="34" t="s">
        <v>167</v>
      </c>
      <c r="P10" s="34" t="s">
        <v>168</v>
      </c>
      <c r="Q10" s="34" t="s">
        <v>169</v>
      </c>
      <c r="R10" s="34" t="s">
        <v>170</v>
      </c>
      <c r="S10" s="34" t="s">
        <v>171</v>
      </c>
      <c r="T10" s="34" t="s">
        <v>172</v>
      </c>
      <c r="U10" s="34" t="s">
        <v>173</v>
      </c>
      <c r="V10" s="34" t="s">
        <v>62</v>
      </c>
      <c r="W10" s="34" t="s">
        <v>174</v>
      </c>
      <c r="X10" s="19" t="s">
        <v>175</v>
      </c>
      <c r="Y10" s="34" t="s">
        <v>176</v>
      </c>
      <c r="Z10" s="19" t="s">
        <v>14</v>
      </c>
      <c r="AA10" s="34" t="s">
        <v>149</v>
      </c>
      <c r="AB10" s="34" t="s">
        <v>17</v>
      </c>
      <c r="AC10" s="34" t="s">
        <v>153</v>
      </c>
      <c r="AD10" s="19" t="s">
        <v>9</v>
      </c>
      <c r="AE10" s="19" t="s">
        <v>177</v>
      </c>
    </row>
    <row r="11">
      <c r="A11" s="19" t="s">
        <v>178</v>
      </c>
      <c r="B11" s="19" t="s">
        <v>70</v>
      </c>
      <c r="C11" s="19" t="s">
        <v>71</v>
      </c>
      <c r="D11" s="35">
        <v>21287.0</v>
      </c>
      <c r="E11" s="19" t="s">
        <v>179</v>
      </c>
      <c r="F11" s="19">
        <v>850000.0</v>
      </c>
      <c r="G11" s="19">
        <v>650000.0</v>
      </c>
      <c r="H11" s="19" t="s">
        <v>180</v>
      </c>
      <c r="I11" s="19" t="s">
        <v>124</v>
      </c>
      <c r="J11" s="19">
        <v>18.0</v>
      </c>
      <c r="K11" s="19">
        <v>62.0</v>
      </c>
      <c r="L11" s="19">
        <v>20.0</v>
      </c>
      <c r="M11" s="19">
        <v>0.0</v>
      </c>
      <c r="N11" s="34">
        <v>16.75</v>
      </c>
      <c r="O11" s="34">
        <v>63.25</v>
      </c>
      <c r="P11" s="34">
        <v>20.0</v>
      </c>
      <c r="Q11" s="34">
        <v>0.0</v>
      </c>
      <c r="R11" s="34">
        <v>1.25</v>
      </c>
      <c r="S11" s="34">
        <v>-1.25</v>
      </c>
      <c r="T11" s="34">
        <v>0.0</v>
      </c>
      <c r="U11" s="34">
        <v>0.0</v>
      </c>
      <c r="V11" s="34">
        <v>2.5</v>
      </c>
      <c r="W11" s="34">
        <v>1.8</v>
      </c>
      <c r="X11" s="19">
        <v>0.7</v>
      </c>
      <c r="Y11" s="34">
        <v>3.2</v>
      </c>
      <c r="Z11" s="19">
        <v>5.0</v>
      </c>
      <c r="AA11" s="34">
        <v>1.25</v>
      </c>
      <c r="AB11" s="34">
        <v>10625.0</v>
      </c>
      <c r="AC11" s="34">
        <v>236.0</v>
      </c>
      <c r="AD11" s="19" t="s">
        <v>20</v>
      </c>
      <c r="AE11" s="19" t="s">
        <v>181</v>
      </c>
    </row>
    <row r="12">
      <c r="A12" s="19" t="s">
        <v>182</v>
      </c>
      <c r="B12" s="19" t="s">
        <v>72</v>
      </c>
      <c r="C12" s="19" t="s">
        <v>71</v>
      </c>
      <c r="D12" s="35">
        <v>22919.0</v>
      </c>
      <c r="E12" s="19" t="s">
        <v>183</v>
      </c>
      <c r="F12" s="19">
        <v>172400.0</v>
      </c>
      <c r="G12" s="19">
        <v>180000.0</v>
      </c>
      <c r="H12" s="19" t="s">
        <v>184</v>
      </c>
      <c r="I12" s="19" t="s">
        <v>124</v>
      </c>
      <c r="J12" s="19">
        <v>20.0</v>
      </c>
      <c r="K12" s="19">
        <v>60.0</v>
      </c>
      <c r="L12" s="19">
        <v>20.0</v>
      </c>
      <c r="M12" s="19">
        <v>0.0</v>
      </c>
      <c r="N12" s="34">
        <v>21.09</v>
      </c>
      <c r="O12" s="34">
        <v>58.91</v>
      </c>
      <c r="P12" s="34">
        <v>20.0</v>
      </c>
      <c r="Q12" s="34">
        <v>0.0</v>
      </c>
      <c r="R12" s="34">
        <v>-1.08</v>
      </c>
      <c r="S12" s="34">
        <v>1.08</v>
      </c>
      <c r="T12" s="34">
        <v>0.0</v>
      </c>
      <c r="U12" s="34">
        <v>0.0</v>
      </c>
      <c r="V12" s="34">
        <v>2.17</v>
      </c>
      <c r="W12" s="34">
        <v>1.9</v>
      </c>
      <c r="X12" s="19">
        <v>0.27</v>
      </c>
      <c r="Y12" s="34">
        <v>2.44</v>
      </c>
      <c r="Z12" s="19">
        <v>3.0</v>
      </c>
      <c r="AA12" s="34">
        <v>1.08</v>
      </c>
      <c r="AB12" s="34">
        <v>1862.0</v>
      </c>
      <c r="AC12" s="34">
        <v>648.0</v>
      </c>
      <c r="AD12" s="19" t="s">
        <v>20</v>
      </c>
      <c r="AE12" s="19" t="s">
        <v>181</v>
      </c>
    </row>
    <row r="13">
      <c r="A13" s="19" t="s">
        <v>185</v>
      </c>
      <c r="B13" s="19" t="s">
        <v>73</v>
      </c>
      <c r="C13" s="19" t="s">
        <v>71</v>
      </c>
      <c r="D13" s="35">
        <v>23337.0</v>
      </c>
      <c r="E13" s="19" t="s">
        <v>186</v>
      </c>
      <c r="F13" s="19">
        <v>1250000.0</v>
      </c>
      <c r="G13" s="19">
        <v>1200000.0</v>
      </c>
      <c r="H13" s="19" t="s">
        <v>187</v>
      </c>
      <c r="I13" s="19" t="s">
        <v>124</v>
      </c>
      <c r="J13" s="19">
        <v>22.5</v>
      </c>
      <c r="K13" s="19">
        <v>70.0</v>
      </c>
      <c r="L13" s="19">
        <v>7.5</v>
      </c>
      <c r="M13" s="19">
        <v>0.0</v>
      </c>
      <c r="N13" s="34">
        <v>24.25</v>
      </c>
      <c r="O13" s="34">
        <v>70.0</v>
      </c>
      <c r="P13" s="34">
        <v>5.75</v>
      </c>
      <c r="Q13" s="34">
        <v>0.0</v>
      </c>
      <c r="R13" s="34">
        <v>-1.75</v>
      </c>
      <c r="S13" s="34">
        <v>0.0</v>
      </c>
      <c r="T13" s="34">
        <v>1.75</v>
      </c>
      <c r="U13" s="34">
        <v>0.0</v>
      </c>
      <c r="V13" s="34">
        <v>3.5</v>
      </c>
      <c r="W13" s="34">
        <v>3.0</v>
      </c>
      <c r="X13" s="19">
        <v>0.5</v>
      </c>
      <c r="Y13" s="34">
        <v>4.0</v>
      </c>
      <c r="Z13" s="19">
        <v>18.0</v>
      </c>
      <c r="AA13" s="34">
        <v>1.75</v>
      </c>
      <c r="AB13" s="34">
        <v>21875.0</v>
      </c>
      <c r="AC13" s="34">
        <v>270.0</v>
      </c>
      <c r="AD13" s="19" t="s">
        <v>30</v>
      </c>
      <c r="AE13" s="19" t="s">
        <v>31</v>
      </c>
    </row>
    <row r="14">
      <c r="A14" s="19" t="s">
        <v>178</v>
      </c>
      <c r="B14" s="19" t="s">
        <v>74</v>
      </c>
      <c r="C14" s="19" t="s">
        <v>71</v>
      </c>
      <c r="D14" s="35">
        <v>22512.0</v>
      </c>
      <c r="E14" s="19" t="s">
        <v>188</v>
      </c>
      <c r="F14" s="19">
        <v>1200000.0</v>
      </c>
      <c r="G14" s="19">
        <v>900000.0</v>
      </c>
      <c r="H14" s="19" t="s">
        <v>189</v>
      </c>
      <c r="I14" s="19" t="s">
        <v>124</v>
      </c>
      <c r="J14" s="19">
        <v>22.0</v>
      </c>
      <c r="K14" s="19">
        <v>58.0</v>
      </c>
      <c r="L14" s="19">
        <v>20.0</v>
      </c>
      <c r="M14" s="19">
        <v>0.0</v>
      </c>
      <c r="N14" s="34">
        <v>20.0</v>
      </c>
      <c r="O14" s="34">
        <v>60.0</v>
      </c>
      <c r="P14" s="34">
        <v>20.0</v>
      </c>
      <c r="Q14" s="34">
        <v>0.0</v>
      </c>
      <c r="R14" s="34">
        <v>2.0</v>
      </c>
      <c r="S14" s="34">
        <v>-2.0</v>
      </c>
      <c r="T14" s="34">
        <v>0.0</v>
      </c>
      <c r="U14" s="34">
        <v>0.0</v>
      </c>
      <c r="V14" s="34">
        <v>4.0</v>
      </c>
      <c r="W14" s="34">
        <v>2.5</v>
      </c>
      <c r="X14" s="19">
        <v>1.5</v>
      </c>
      <c r="Y14" s="34">
        <v>5.5</v>
      </c>
      <c r="Z14" s="19">
        <v>8.0</v>
      </c>
      <c r="AA14" s="34">
        <v>2.0</v>
      </c>
      <c r="AB14" s="34">
        <v>24000.0</v>
      </c>
      <c r="AC14" s="34">
        <v>80.0</v>
      </c>
      <c r="AD14" s="19" t="s">
        <v>30</v>
      </c>
      <c r="AE14" s="19" t="s">
        <v>190</v>
      </c>
    </row>
    <row r="15">
      <c r="A15" s="19" t="s">
        <v>185</v>
      </c>
      <c r="B15" s="19" t="s">
        <v>75</v>
      </c>
      <c r="C15" s="19" t="s">
        <v>71</v>
      </c>
      <c r="D15" s="35">
        <v>26150.0</v>
      </c>
      <c r="E15" s="19" t="s">
        <v>191</v>
      </c>
      <c r="F15" s="19">
        <v>310000.0</v>
      </c>
      <c r="G15" s="19">
        <v>300000.0</v>
      </c>
      <c r="H15" s="19" t="s">
        <v>192</v>
      </c>
      <c r="I15" s="19" t="s">
        <v>124</v>
      </c>
      <c r="J15" s="19">
        <v>26.5</v>
      </c>
      <c r="K15" s="19">
        <v>65.0</v>
      </c>
      <c r="L15" s="19">
        <v>8.5</v>
      </c>
      <c r="M15" s="19">
        <v>0.0</v>
      </c>
      <c r="N15" s="34">
        <v>22.25</v>
      </c>
      <c r="O15" s="34">
        <v>69.25</v>
      </c>
      <c r="P15" s="34">
        <v>8.5</v>
      </c>
      <c r="Q15" s="34">
        <v>0.0</v>
      </c>
      <c r="R15" s="34">
        <v>4.25</v>
      </c>
      <c r="S15" s="34">
        <v>-4.25</v>
      </c>
      <c r="T15" s="34">
        <v>0.0</v>
      </c>
      <c r="U15" s="34">
        <v>0.0</v>
      </c>
      <c r="V15" s="34">
        <v>8.5</v>
      </c>
      <c r="W15" s="34">
        <v>5.0</v>
      </c>
      <c r="X15" s="19">
        <v>3.5</v>
      </c>
      <c r="Y15" s="34">
        <v>12.0</v>
      </c>
      <c r="Z15" s="19">
        <v>35.0</v>
      </c>
      <c r="AA15" s="34">
        <v>4.25</v>
      </c>
      <c r="AB15" s="34">
        <v>13175.0</v>
      </c>
      <c r="AC15" s="34">
        <v>0.0</v>
      </c>
      <c r="AD15" s="19" t="s">
        <v>49</v>
      </c>
      <c r="AE15" s="19" t="s">
        <v>193</v>
      </c>
    </row>
    <row r="16">
      <c r="A16" s="19" t="s">
        <v>178</v>
      </c>
      <c r="B16" s="19" t="s">
        <v>76</v>
      </c>
      <c r="C16" s="19" t="s">
        <v>77</v>
      </c>
      <c r="D16" s="35">
        <v>29298.0</v>
      </c>
      <c r="E16" s="19" t="s">
        <v>194</v>
      </c>
      <c r="F16" s="19">
        <v>950000.0</v>
      </c>
      <c r="G16" s="19">
        <v>650000.0</v>
      </c>
      <c r="H16" s="19" t="s">
        <v>195</v>
      </c>
      <c r="I16" s="19" t="s">
        <v>134</v>
      </c>
      <c r="J16" s="19">
        <v>55.0</v>
      </c>
      <c r="K16" s="19">
        <v>35.0</v>
      </c>
      <c r="L16" s="19">
        <v>10.0</v>
      </c>
      <c r="M16" s="19">
        <v>0.0</v>
      </c>
      <c r="N16" s="34">
        <v>53.4</v>
      </c>
      <c r="O16" s="34">
        <v>36.6</v>
      </c>
      <c r="P16" s="34">
        <v>10.0</v>
      </c>
      <c r="Q16" s="34">
        <v>0.0</v>
      </c>
      <c r="R16" s="34">
        <v>1.6</v>
      </c>
      <c r="S16" s="34">
        <v>-1.6</v>
      </c>
      <c r="T16" s="34">
        <v>0.0</v>
      </c>
      <c r="U16" s="34">
        <v>0.0</v>
      </c>
      <c r="V16" s="34">
        <v>3.2</v>
      </c>
      <c r="W16" s="34">
        <v>2.8</v>
      </c>
      <c r="X16" s="19">
        <v>0.4</v>
      </c>
      <c r="Y16" s="34">
        <v>3.6</v>
      </c>
      <c r="Z16" s="19">
        <v>4.0</v>
      </c>
      <c r="AA16" s="34">
        <v>1.6</v>
      </c>
      <c r="AB16" s="34">
        <v>15200.0</v>
      </c>
      <c r="AC16" s="34">
        <v>660.0</v>
      </c>
      <c r="AD16" s="19" t="s">
        <v>20</v>
      </c>
      <c r="AE16" s="19" t="s">
        <v>181</v>
      </c>
    </row>
    <row r="17">
      <c r="A17" s="19" t="s">
        <v>182</v>
      </c>
      <c r="B17" s="19" t="s">
        <v>78</v>
      </c>
      <c r="C17" s="19" t="s">
        <v>77</v>
      </c>
      <c r="D17" s="35">
        <v>30007.0</v>
      </c>
      <c r="E17" s="19" t="s">
        <v>196</v>
      </c>
      <c r="F17" s="19">
        <v>190300.0</v>
      </c>
      <c r="G17" s="19">
        <v>175000.0</v>
      </c>
      <c r="H17" s="19" t="s">
        <v>197</v>
      </c>
      <c r="I17" s="19" t="s">
        <v>134</v>
      </c>
      <c r="J17" s="19">
        <v>58.0</v>
      </c>
      <c r="K17" s="19">
        <v>32.0</v>
      </c>
      <c r="L17" s="19">
        <v>10.0</v>
      </c>
      <c r="M17" s="19">
        <v>0.0</v>
      </c>
      <c r="N17" s="34">
        <v>59.73</v>
      </c>
      <c r="O17" s="34">
        <v>30.27</v>
      </c>
      <c r="P17" s="34">
        <v>10.0</v>
      </c>
      <c r="Q17" s="34">
        <v>0.0</v>
      </c>
      <c r="R17" s="34">
        <v>-1.73</v>
      </c>
      <c r="S17" s="34">
        <v>1.73</v>
      </c>
      <c r="T17" s="34">
        <v>0.0</v>
      </c>
      <c r="U17" s="34">
        <v>0.0</v>
      </c>
      <c r="V17" s="34">
        <v>3.45</v>
      </c>
      <c r="W17" s="34">
        <v>3.0</v>
      </c>
      <c r="X17" s="19">
        <v>0.45</v>
      </c>
      <c r="Y17" s="34">
        <v>3.9</v>
      </c>
      <c r="Z17" s="19">
        <v>7.0</v>
      </c>
      <c r="AA17" s="34">
        <v>1.73</v>
      </c>
      <c r="AB17" s="34">
        <v>3292.0</v>
      </c>
      <c r="AC17" s="34">
        <v>570.0</v>
      </c>
      <c r="AD17" s="19" t="s">
        <v>20</v>
      </c>
      <c r="AE17" s="19" t="s">
        <v>181</v>
      </c>
    </row>
    <row r="18">
      <c r="A18" s="19" t="s">
        <v>198</v>
      </c>
      <c r="B18" s="19" t="s">
        <v>79</v>
      </c>
      <c r="C18" s="19" t="s">
        <v>77</v>
      </c>
      <c r="D18" s="35">
        <v>30141.0</v>
      </c>
      <c r="E18" s="19" t="s">
        <v>199</v>
      </c>
      <c r="F18" s="19">
        <v>78000.0</v>
      </c>
      <c r="G18" s="19">
        <v>30000.0</v>
      </c>
      <c r="H18" s="19" t="s">
        <v>200</v>
      </c>
      <c r="I18" s="19" t="s">
        <v>134</v>
      </c>
      <c r="J18" s="19">
        <v>55.0</v>
      </c>
      <c r="K18" s="19">
        <v>25.0</v>
      </c>
      <c r="L18" s="19">
        <v>10.0</v>
      </c>
      <c r="M18" s="19">
        <v>10.0</v>
      </c>
      <c r="N18" s="34">
        <v>57.0</v>
      </c>
      <c r="O18" s="34">
        <v>25.0</v>
      </c>
      <c r="P18" s="34">
        <v>8.0</v>
      </c>
      <c r="Q18" s="34">
        <v>10.0</v>
      </c>
      <c r="R18" s="34">
        <v>-2.0</v>
      </c>
      <c r="S18" s="34">
        <v>0.0</v>
      </c>
      <c r="T18" s="34">
        <v>2.0</v>
      </c>
      <c r="U18" s="34">
        <v>0.0</v>
      </c>
      <c r="V18" s="34">
        <v>4.0</v>
      </c>
      <c r="W18" s="34">
        <v>3.5</v>
      </c>
      <c r="X18" s="19">
        <v>0.5</v>
      </c>
      <c r="Y18" s="34">
        <v>4.5</v>
      </c>
      <c r="Z18" s="19">
        <v>18.0</v>
      </c>
      <c r="AA18" s="34">
        <v>2.0</v>
      </c>
      <c r="AB18" s="34">
        <v>1560.0</v>
      </c>
      <c r="AC18" s="34">
        <v>480.0</v>
      </c>
      <c r="AD18" s="19" t="s">
        <v>30</v>
      </c>
      <c r="AE18" s="19" t="s">
        <v>31</v>
      </c>
    </row>
    <row r="19">
      <c r="A19" s="19" t="s">
        <v>185</v>
      </c>
      <c r="B19" s="19" t="s">
        <v>80</v>
      </c>
      <c r="C19" s="19" t="s">
        <v>77</v>
      </c>
      <c r="D19" s="35">
        <v>31342.0</v>
      </c>
      <c r="E19" s="19" t="s">
        <v>201</v>
      </c>
      <c r="F19" s="19">
        <v>290000.0</v>
      </c>
      <c r="G19" s="19">
        <v>250000.0</v>
      </c>
      <c r="H19" s="19" t="s">
        <v>202</v>
      </c>
      <c r="I19" s="19" t="s">
        <v>134</v>
      </c>
      <c r="J19" s="19">
        <v>61.0</v>
      </c>
      <c r="K19" s="19">
        <v>34.0</v>
      </c>
      <c r="L19" s="19">
        <v>5.0</v>
      </c>
      <c r="M19" s="19">
        <v>0.0</v>
      </c>
      <c r="N19" s="34">
        <v>58.0</v>
      </c>
      <c r="O19" s="34">
        <v>37.0</v>
      </c>
      <c r="P19" s="34">
        <v>5.0</v>
      </c>
      <c r="Q19" s="34">
        <v>0.0</v>
      </c>
      <c r="R19" s="34">
        <v>3.0</v>
      </c>
      <c r="S19" s="34">
        <v>-3.0</v>
      </c>
      <c r="T19" s="34">
        <v>0.0</v>
      </c>
      <c r="U19" s="34">
        <v>0.0</v>
      </c>
      <c r="V19" s="34">
        <v>6.0</v>
      </c>
      <c r="W19" s="34">
        <v>4.5</v>
      </c>
      <c r="X19" s="19">
        <v>1.5</v>
      </c>
      <c r="Y19" s="34">
        <v>7.5</v>
      </c>
      <c r="Z19" s="19">
        <v>10.0</v>
      </c>
      <c r="AA19" s="34">
        <v>3.0</v>
      </c>
      <c r="AB19" s="34">
        <v>8700.0</v>
      </c>
      <c r="AC19" s="34">
        <v>120.0</v>
      </c>
      <c r="AD19" s="19" t="s">
        <v>30</v>
      </c>
      <c r="AE19" s="19" t="s">
        <v>190</v>
      </c>
    </row>
    <row r="20">
      <c r="A20" s="19" t="s">
        <v>185</v>
      </c>
      <c r="B20" s="19" t="s">
        <v>81</v>
      </c>
      <c r="C20" s="19" t="s">
        <v>77</v>
      </c>
      <c r="D20" s="35">
        <v>27097.0</v>
      </c>
      <c r="E20" s="19" t="s">
        <v>203</v>
      </c>
      <c r="F20" s="19">
        <v>1250000.0</v>
      </c>
      <c r="G20" s="19">
        <v>1100000.0</v>
      </c>
      <c r="H20" s="19" t="s">
        <v>204</v>
      </c>
      <c r="I20" s="19" t="s">
        <v>134</v>
      </c>
      <c r="J20" s="19">
        <v>66.5</v>
      </c>
      <c r="K20" s="19">
        <v>30.0</v>
      </c>
      <c r="L20" s="19">
        <v>3.5</v>
      </c>
      <c r="M20" s="19">
        <v>0.0</v>
      </c>
      <c r="N20" s="34">
        <v>60.25</v>
      </c>
      <c r="O20" s="34">
        <v>36.25</v>
      </c>
      <c r="P20" s="34">
        <v>3.5</v>
      </c>
      <c r="Q20" s="34">
        <v>0.0</v>
      </c>
      <c r="R20" s="34">
        <v>6.25</v>
      </c>
      <c r="S20" s="34">
        <v>-6.25</v>
      </c>
      <c r="T20" s="34">
        <v>0.0</v>
      </c>
      <c r="U20" s="34">
        <v>0.0</v>
      </c>
      <c r="V20" s="34">
        <v>12.5</v>
      </c>
      <c r="W20" s="34">
        <v>8.0</v>
      </c>
      <c r="X20" s="19">
        <v>4.5</v>
      </c>
      <c r="Y20" s="34">
        <v>17.0</v>
      </c>
      <c r="Z20" s="19">
        <v>40.0</v>
      </c>
      <c r="AA20" s="34">
        <v>6.25</v>
      </c>
      <c r="AB20" s="34">
        <v>78125.0</v>
      </c>
      <c r="AC20" s="34">
        <v>0.0</v>
      </c>
      <c r="AD20" s="19" t="s">
        <v>49</v>
      </c>
      <c r="AE20" s="19" t="s">
        <v>190</v>
      </c>
    </row>
    <row r="21">
      <c r="A21" s="19" t="s">
        <v>178</v>
      </c>
      <c r="B21" s="19" t="s">
        <v>82</v>
      </c>
      <c r="C21" s="19" t="s">
        <v>83</v>
      </c>
      <c r="D21" s="35">
        <v>34978.0</v>
      </c>
      <c r="E21" s="19" t="s">
        <v>205</v>
      </c>
      <c r="F21" s="19">
        <v>325000.0</v>
      </c>
      <c r="G21" s="19">
        <v>200000.0</v>
      </c>
      <c r="H21" s="19" t="s">
        <v>206</v>
      </c>
      <c r="I21" s="19" t="s">
        <v>143</v>
      </c>
      <c r="J21" s="19">
        <v>80.0</v>
      </c>
      <c r="K21" s="19">
        <v>10.0</v>
      </c>
      <c r="L21" s="19">
        <v>5.0</v>
      </c>
      <c r="M21" s="19">
        <v>5.0</v>
      </c>
      <c r="N21" s="34">
        <v>77.5</v>
      </c>
      <c r="O21" s="34">
        <v>12.5</v>
      </c>
      <c r="P21" s="34">
        <v>5.0</v>
      </c>
      <c r="Q21" s="34">
        <v>5.0</v>
      </c>
      <c r="R21" s="34">
        <v>2.5</v>
      </c>
      <c r="S21" s="34">
        <v>-2.5</v>
      </c>
      <c r="T21" s="34">
        <v>0.0</v>
      </c>
      <c r="U21" s="34">
        <v>0.0</v>
      </c>
      <c r="V21" s="34">
        <v>5.0</v>
      </c>
      <c r="W21" s="34">
        <v>4.0</v>
      </c>
      <c r="X21" s="19">
        <v>1.0</v>
      </c>
      <c r="Y21" s="34">
        <v>6.0</v>
      </c>
      <c r="Z21" s="19">
        <v>5.0</v>
      </c>
      <c r="AA21" s="34">
        <v>2.5</v>
      </c>
      <c r="AB21" s="34">
        <v>8125.0</v>
      </c>
      <c r="AC21" s="34">
        <v>300.0</v>
      </c>
      <c r="AD21" s="19" t="s">
        <v>20</v>
      </c>
      <c r="AE21" s="19" t="s">
        <v>181</v>
      </c>
    </row>
    <row r="22">
      <c r="A22" s="19" t="s">
        <v>198</v>
      </c>
      <c r="B22" s="19" t="s">
        <v>84</v>
      </c>
      <c r="C22" s="19" t="s">
        <v>83</v>
      </c>
      <c r="D22" s="35">
        <v>34925.0</v>
      </c>
      <c r="E22" s="19" t="s">
        <v>207</v>
      </c>
      <c r="F22" s="19">
        <v>38000.0</v>
      </c>
      <c r="G22" s="19">
        <v>15000.0</v>
      </c>
      <c r="H22" s="19" t="s">
        <v>208</v>
      </c>
      <c r="I22" s="19" t="s">
        <v>143</v>
      </c>
      <c r="J22" s="19">
        <v>80.0</v>
      </c>
      <c r="K22" s="19">
        <v>0.0</v>
      </c>
      <c r="L22" s="19">
        <v>5.0</v>
      </c>
      <c r="M22" s="19">
        <v>15.0</v>
      </c>
      <c r="N22" s="34">
        <v>82.0</v>
      </c>
      <c r="O22" s="34">
        <v>-2.0</v>
      </c>
      <c r="P22" s="34">
        <v>5.0</v>
      </c>
      <c r="Q22" s="34">
        <v>15.0</v>
      </c>
      <c r="R22" s="34">
        <v>-2.0</v>
      </c>
      <c r="S22" s="34">
        <v>2.0</v>
      </c>
      <c r="T22" s="34">
        <v>0.0</v>
      </c>
      <c r="U22" s="34">
        <v>0.0</v>
      </c>
      <c r="V22" s="34">
        <v>4.0</v>
      </c>
      <c r="W22" s="34">
        <v>3.0</v>
      </c>
      <c r="X22" s="19">
        <v>1.0</v>
      </c>
      <c r="Y22" s="34">
        <v>5.0</v>
      </c>
      <c r="Z22" s="19">
        <v>4.0</v>
      </c>
      <c r="AA22" s="34">
        <v>2.0</v>
      </c>
      <c r="AB22" s="34">
        <v>760.0</v>
      </c>
      <c r="AC22" s="34">
        <v>330.0</v>
      </c>
      <c r="AD22" s="19" t="s">
        <v>20</v>
      </c>
      <c r="AE22" s="19" t="s">
        <v>181</v>
      </c>
    </row>
    <row r="23">
      <c r="A23" s="19" t="s">
        <v>185</v>
      </c>
      <c r="B23" s="19" t="s">
        <v>85</v>
      </c>
      <c r="C23" s="19" t="s">
        <v>83</v>
      </c>
      <c r="D23" s="35">
        <v>32214.0</v>
      </c>
      <c r="E23" s="19" t="s">
        <v>209</v>
      </c>
      <c r="F23" s="19">
        <v>530000.0</v>
      </c>
      <c r="G23" s="19">
        <v>450000.0</v>
      </c>
      <c r="H23" s="19" t="s">
        <v>210</v>
      </c>
      <c r="I23" s="19" t="s">
        <v>143</v>
      </c>
      <c r="J23" s="19">
        <v>87.5</v>
      </c>
      <c r="K23" s="19">
        <v>10.0</v>
      </c>
      <c r="L23" s="19">
        <v>2.5</v>
      </c>
      <c r="M23" s="19">
        <v>0.0</v>
      </c>
      <c r="N23" s="34">
        <v>83.75</v>
      </c>
      <c r="O23" s="34">
        <v>13.75</v>
      </c>
      <c r="P23" s="34">
        <v>2.5</v>
      </c>
      <c r="Q23" s="34">
        <v>0.0</v>
      </c>
      <c r="R23" s="34">
        <v>3.75</v>
      </c>
      <c r="S23" s="34">
        <v>-3.75</v>
      </c>
      <c r="T23" s="34">
        <v>0.0</v>
      </c>
      <c r="U23" s="34">
        <v>0.0</v>
      </c>
      <c r="V23" s="34">
        <v>7.5</v>
      </c>
      <c r="W23" s="34">
        <v>5.0</v>
      </c>
      <c r="X23" s="19">
        <v>2.5</v>
      </c>
      <c r="Y23" s="34">
        <v>10.0</v>
      </c>
      <c r="Z23" s="19">
        <v>12.0</v>
      </c>
      <c r="AA23" s="34">
        <v>3.75</v>
      </c>
      <c r="AB23" s="34">
        <v>19875.0</v>
      </c>
      <c r="AC23" s="34">
        <v>90.0</v>
      </c>
      <c r="AD23" s="19" t="s">
        <v>30</v>
      </c>
      <c r="AE23" s="19" t="s">
        <v>136</v>
      </c>
    </row>
    <row r="24">
      <c r="A24" s="19" t="s">
        <v>178</v>
      </c>
      <c r="B24" s="19" t="s">
        <v>86</v>
      </c>
      <c r="C24" s="19" t="s">
        <v>83</v>
      </c>
      <c r="D24" s="35">
        <v>34087.0</v>
      </c>
      <c r="E24" s="19" t="s">
        <v>211</v>
      </c>
      <c r="F24" s="19">
        <v>875000.0</v>
      </c>
      <c r="G24" s="19">
        <v>500000.0</v>
      </c>
      <c r="H24" s="19" t="s">
        <v>212</v>
      </c>
      <c r="I24" s="19" t="s">
        <v>143</v>
      </c>
      <c r="J24" s="19">
        <v>88.0</v>
      </c>
      <c r="K24" s="19">
        <v>7.0</v>
      </c>
      <c r="L24" s="19">
        <v>5.0</v>
      </c>
      <c r="M24" s="19">
        <v>0.0</v>
      </c>
      <c r="N24" s="34">
        <v>84.0</v>
      </c>
      <c r="O24" s="34">
        <v>11.0</v>
      </c>
      <c r="P24" s="34">
        <v>5.0</v>
      </c>
      <c r="Q24" s="34">
        <v>0.0</v>
      </c>
      <c r="R24" s="34">
        <v>4.0</v>
      </c>
      <c r="S24" s="34">
        <v>-4.0</v>
      </c>
      <c r="T24" s="34">
        <v>0.0</v>
      </c>
      <c r="U24" s="34">
        <v>0.0</v>
      </c>
      <c r="V24" s="34">
        <v>8.0</v>
      </c>
      <c r="W24" s="34">
        <v>6.0</v>
      </c>
      <c r="X24" s="19">
        <v>2.0</v>
      </c>
      <c r="Y24" s="34">
        <v>10.0</v>
      </c>
      <c r="Z24" s="19">
        <v>10.0</v>
      </c>
      <c r="AA24" s="34">
        <v>4.0</v>
      </c>
      <c r="AB24" s="34">
        <v>35000.0</v>
      </c>
      <c r="AC24" s="34">
        <v>105.0</v>
      </c>
      <c r="AD24" s="19" t="s">
        <v>30</v>
      </c>
      <c r="AE24" s="19" t="s">
        <v>190</v>
      </c>
    </row>
    <row r="25">
      <c r="A25" s="19" t="s">
        <v>185</v>
      </c>
      <c r="B25" s="19" t="s">
        <v>87</v>
      </c>
      <c r="C25" s="19" t="s">
        <v>83</v>
      </c>
      <c r="D25" s="35">
        <v>28056.0</v>
      </c>
      <c r="E25" s="19" t="s">
        <v>213</v>
      </c>
      <c r="F25" s="19">
        <v>2600000.0</v>
      </c>
      <c r="G25" s="19">
        <v>2100000.0</v>
      </c>
      <c r="H25" s="19" t="s">
        <v>214</v>
      </c>
      <c r="I25" s="19" t="s">
        <v>143</v>
      </c>
      <c r="J25" s="19">
        <v>93.0</v>
      </c>
      <c r="K25" s="19">
        <v>5.0</v>
      </c>
      <c r="L25" s="19">
        <v>2.0</v>
      </c>
      <c r="M25" s="19">
        <v>0.0</v>
      </c>
      <c r="N25" s="34">
        <v>85.0</v>
      </c>
      <c r="O25" s="34">
        <v>8.0</v>
      </c>
      <c r="P25" s="34">
        <v>7.0</v>
      </c>
      <c r="Q25" s="34">
        <v>0.0</v>
      </c>
      <c r="R25" s="34">
        <v>8.0</v>
      </c>
      <c r="S25" s="34">
        <v>-3.0</v>
      </c>
      <c r="T25" s="34">
        <v>-5.0</v>
      </c>
      <c r="U25" s="34">
        <v>0.0</v>
      </c>
      <c r="V25" s="34">
        <v>16.0</v>
      </c>
      <c r="W25" s="34">
        <v>10.0</v>
      </c>
      <c r="X25" s="19">
        <v>6.0</v>
      </c>
      <c r="Y25" s="34">
        <v>22.0</v>
      </c>
      <c r="Z25" s="19">
        <v>35.0</v>
      </c>
      <c r="AA25" s="34">
        <v>8.0</v>
      </c>
      <c r="AB25" s="34">
        <v>208000.0</v>
      </c>
      <c r="AC25" s="34">
        <v>0.0</v>
      </c>
      <c r="AD25" s="19" t="s">
        <v>49</v>
      </c>
      <c r="AE25" s="19" t="s">
        <v>215</v>
      </c>
    </row>
    <row r="26">
      <c r="A26" s="19" t="s">
        <v>178</v>
      </c>
      <c r="B26" s="19" t="s">
        <v>88</v>
      </c>
      <c r="C26" s="19" t="s">
        <v>89</v>
      </c>
      <c r="D26" s="35">
        <v>22040.0</v>
      </c>
      <c r="E26" s="19" t="s">
        <v>216</v>
      </c>
      <c r="F26" s="19">
        <v>1100000.0</v>
      </c>
      <c r="G26" s="19">
        <v>850000.0</v>
      </c>
      <c r="H26" s="19" t="s">
        <v>217</v>
      </c>
      <c r="I26" s="19" t="s">
        <v>124</v>
      </c>
      <c r="J26" s="19">
        <v>30.0</v>
      </c>
      <c r="K26" s="19">
        <v>55.0</v>
      </c>
      <c r="L26" s="19">
        <v>15.0</v>
      </c>
      <c r="M26" s="19">
        <v>0.0</v>
      </c>
      <c r="N26" s="34">
        <v>28.25</v>
      </c>
      <c r="O26" s="34">
        <v>56.75</v>
      </c>
      <c r="P26" s="34">
        <v>15.0</v>
      </c>
      <c r="Q26" s="34">
        <v>0.0</v>
      </c>
      <c r="R26" s="34">
        <v>1.75</v>
      </c>
      <c r="S26" s="34">
        <v>-1.75</v>
      </c>
      <c r="T26" s="34">
        <v>0.0</v>
      </c>
      <c r="U26" s="34">
        <v>0.0</v>
      </c>
      <c r="V26" s="34">
        <v>3.5</v>
      </c>
      <c r="W26" s="34">
        <v>3.0</v>
      </c>
      <c r="X26" s="19">
        <v>0.5</v>
      </c>
      <c r="Y26" s="34">
        <v>4.0</v>
      </c>
      <c r="Z26" s="19">
        <v>5.0</v>
      </c>
      <c r="AA26" s="34">
        <v>1.75</v>
      </c>
      <c r="AB26" s="34">
        <v>19250.0</v>
      </c>
      <c r="AC26" s="34">
        <v>390.0</v>
      </c>
      <c r="AD26" s="19" t="s">
        <v>20</v>
      </c>
      <c r="AE26" s="19" t="s">
        <v>181</v>
      </c>
    </row>
    <row r="27">
      <c r="A27" s="19" t="s">
        <v>182</v>
      </c>
      <c r="B27" s="19" t="s">
        <v>90</v>
      </c>
      <c r="C27" s="19" t="s">
        <v>89</v>
      </c>
      <c r="D27" s="35">
        <v>24020.0</v>
      </c>
      <c r="E27" s="19" t="s">
        <v>218</v>
      </c>
      <c r="F27" s="19">
        <v>315400.0</v>
      </c>
      <c r="G27" s="19">
        <v>300000.0</v>
      </c>
      <c r="H27" s="19" t="s">
        <v>219</v>
      </c>
      <c r="I27" s="19" t="s">
        <v>124</v>
      </c>
      <c r="J27" s="19">
        <v>30.0</v>
      </c>
      <c r="K27" s="19">
        <v>55.0</v>
      </c>
      <c r="L27" s="19">
        <v>15.0</v>
      </c>
      <c r="M27" s="19">
        <v>0.0</v>
      </c>
      <c r="N27" s="34">
        <v>31.45</v>
      </c>
      <c r="O27" s="34">
        <v>53.55</v>
      </c>
      <c r="P27" s="34">
        <v>15.0</v>
      </c>
      <c r="Q27" s="34">
        <v>0.0</v>
      </c>
      <c r="R27" s="34">
        <v>-1.45</v>
      </c>
      <c r="S27" s="34">
        <v>1.45</v>
      </c>
      <c r="T27" s="34">
        <v>0.0</v>
      </c>
      <c r="U27" s="34">
        <v>0.0</v>
      </c>
      <c r="V27" s="34">
        <v>2.89</v>
      </c>
      <c r="W27" s="34">
        <v>2.0</v>
      </c>
      <c r="X27" s="19">
        <v>0.89</v>
      </c>
      <c r="Y27" s="34">
        <v>3.78</v>
      </c>
      <c r="Z27" s="19">
        <v>4.0</v>
      </c>
      <c r="AA27" s="34">
        <v>1.45</v>
      </c>
      <c r="AB27" s="34">
        <v>4573.0</v>
      </c>
      <c r="AC27" s="34">
        <v>240.0</v>
      </c>
      <c r="AD27" s="19" t="s">
        <v>20</v>
      </c>
      <c r="AE27" s="19" t="s">
        <v>181</v>
      </c>
    </row>
    <row r="28">
      <c r="A28" s="19" t="s">
        <v>185</v>
      </c>
      <c r="B28" s="19" t="s">
        <v>91</v>
      </c>
      <c r="C28" s="19" t="s">
        <v>89</v>
      </c>
      <c r="D28" s="35">
        <v>27669.0</v>
      </c>
      <c r="E28" s="19" t="s">
        <v>220</v>
      </c>
      <c r="F28" s="19">
        <v>1020000.0</v>
      </c>
      <c r="G28" s="19">
        <v>950000.0</v>
      </c>
      <c r="H28" s="19" t="s">
        <v>221</v>
      </c>
      <c r="I28" s="19" t="s">
        <v>124</v>
      </c>
      <c r="J28" s="19">
        <v>39.5</v>
      </c>
      <c r="K28" s="19">
        <v>55.0</v>
      </c>
      <c r="L28" s="19">
        <v>5.5</v>
      </c>
      <c r="M28" s="19">
        <v>0.0</v>
      </c>
      <c r="N28" s="34">
        <v>37.0</v>
      </c>
      <c r="O28" s="34">
        <v>57.5</v>
      </c>
      <c r="P28" s="34">
        <v>5.5</v>
      </c>
      <c r="Q28" s="34">
        <v>0.0</v>
      </c>
      <c r="R28" s="34">
        <v>2.5</v>
      </c>
      <c r="S28" s="34">
        <v>-2.5</v>
      </c>
      <c r="T28" s="34">
        <v>0.0</v>
      </c>
      <c r="U28" s="34">
        <v>0.0</v>
      </c>
      <c r="V28" s="34">
        <v>5.0</v>
      </c>
      <c r="W28" s="34">
        <v>3.5</v>
      </c>
      <c r="X28" s="19">
        <v>1.5</v>
      </c>
      <c r="Y28" s="34">
        <v>6.5</v>
      </c>
      <c r="Z28" s="19">
        <v>10.0</v>
      </c>
      <c r="AA28" s="34">
        <v>2.5</v>
      </c>
      <c r="AB28" s="34">
        <v>25500.0</v>
      </c>
      <c r="AC28" s="34">
        <v>100.0</v>
      </c>
      <c r="AD28" s="19" t="s">
        <v>30</v>
      </c>
      <c r="AE28" s="19" t="s">
        <v>190</v>
      </c>
    </row>
    <row r="29">
      <c r="A29" s="19" t="s">
        <v>178</v>
      </c>
      <c r="B29" s="19" t="s">
        <v>92</v>
      </c>
      <c r="C29" s="19" t="s">
        <v>89</v>
      </c>
      <c r="D29" s="35">
        <v>21078.0</v>
      </c>
      <c r="E29" s="19" t="s">
        <v>222</v>
      </c>
      <c r="F29" s="19">
        <v>1650000.0</v>
      </c>
      <c r="G29" s="19">
        <v>1250000.0</v>
      </c>
      <c r="H29" s="19" t="s">
        <v>223</v>
      </c>
      <c r="I29" s="19" t="s">
        <v>124</v>
      </c>
      <c r="J29" s="19">
        <v>36.0</v>
      </c>
      <c r="K29" s="19">
        <v>49.0</v>
      </c>
      <c r="L29" s="19">
        <v>15.0</v>
      </c>
      <c r="M29" s="19">
        <v>0.0</v>
      </c>
      <c r="N29" s="34">
        <v>33.0</v>
      </c>
      <c r="O29" s="34">
        <v>52.0</v>
      </c>
      <c r="P29" s="34">
        <v>15.0</v>
      </c>
      <c r="Q29" s="34">
        <v>0.0</v>
      </c>
      <c r="R29" s="34">
        <v>3.0</v>
      </c>
      <c r="S29" s="34">
        <v>-3.0</v>
      </c>
      <c r="T29" s="34">
        <v>0.0</v>
      </c>
      <c r="U29" s="34">
        <v>0.0</v>
      </c>
      <c r="V29" s="34">
        <v>6.0</v>
      </c>
      <c r="W29" s="34">
        <v>4.0</v>
      </c>
      <c r="X29" s="19">
        <v>2.0</v>
      </c>
      <c r="Y29" s="34">
        <v>8.0</v>
      </c>
      <c r="Z29" s="19">
        <v>12.0</v>
      </c>
      <c r="AA29" s="34">
        <v>3.0</v>
      </c>
      <c r="AB29" s="34">
        <v>49500.0</v>
      </c>
      <c r="AC29" s="34">
        <v>60.0</v>
      </c>
      <c r="AD29" s="19" t="s">
        <v>30</v>
      </c>
      <c r="AE29" s="19" t="s">
        <v>215</v>
      </c>
    </row>
    <row r="30">
      <c r="A30" s="19" t="s">
        <v>178</v>
      </c>
      <c r="B30" s="19" t="s">
        <v>93</v>
      </c>
      <c r="C30" s="19" t="s">
        <v>89</v>
      </c>
      <c r="D30" s="35">
        <v>22654.0</v>
      </c>
      <c r="E30" s="19" t="s">
        <v>224</v>
      </c>
      <c r="F30" s="19">
        <v>780000.0</v>
      </c>
      <c r="G30" s="19">
        <v>600000.0</v>
      </c>
      <c r="H30" s="19" t="s">
        <v>225</v>
      </c>
      <c r="I30" s="19" t="s">
        <v>124</v>
      </c>
      <c r="J30" s="19">
        <v>42.0</v>
      </c>
      <c r="K30" s="19">
        <v>43.0</v>
      </c>
      <c r="L30" s="19">
        <v>15.0</v>
      </c>
      <c r="M30" s="19">
        <v>0.0</v>
      </c>
      <c r="N30" s="34">
        <v>36.75</v>
      </c>
      <c r="O30" s="34">
        <v>48.25</v>
      </c>
      <c r="P30" s="34">
        <v>15.0</v>
      </c>
      <c r="Q30" s="34">
        <v>0.0</v>
      </c>
      <c r="R30" s="34">
        <v>5.25</v>
      </c>
      <c r="S30" s="34">
        <v>-5.25</v>
      </c>
      <c r="T30" s="34">
        <v>0.0</v>
      </c>
      <c r="U30" s="34">
        <v>0.0</v>
      </c>
      <c r="V30" s="34">
        <v>10.5</v>
      </c>
      <c r="W30" s="34">
        <v>7.0</v>
      </c>
      <c r="X30" s="19">
        <v>3.5</v>
      </c>
      <c r="Y30" s="34">
        <v>14.0</v>
      </c>
      <c r="Z30" s="19">
        <v>32.0</v>
      </c>
      <c r="AA30" s="34">
        <v>5.25</v>
      </c>
      <c r="AB30" s="34">
        <v>40950.0</v>
      </c>
      <c r="AC30" s="34">
        <v>0.0</v>
      </c>
      <c r="AD30" s="19" t="s">
        <v>49</v>
      </c>
      <c r="AE30" s="19" t="s">
        <v>190</v>
      </c>
    </row>
    <row r="31">
      <c r="A31" s="19" t="s">
        <v>178</v>
      </c>
      <c r="B31" s="19" t="s">
        <v>94</v>
      </c>
      <c r="C31" s="19" t="s">
        <v>95</v>
      </c>
      <c r="D31" s="35">
        <v>19065.0</v>
      </c>
      <c r="E31" s="19" t="s">
        <v>226</v>
      </c>
      <c r="F31" s="19">
        <v>1800000.0</v>
      </c>
      <c r="G31" s="19">
        <v>1300000.0</v>
      </c>
      <c r="H31" s="19" t="s">
        <v>227</v>
      </c>
      <c r="I31" s="19" t="s">
        <v>124</v>
      </c>
      <c r="J31" s="19">
        <v>40.0</v>
      </c>
      <c r="K31" s="19">
        <v>50.0</v>
      </c>
      <c r="L31" s="19">
        <v>10.0</v>
      </c>
      <c r="M31" s="19">
        <v>0.0</v>
      </c>
      <c r="N31" s="34">
        <v>39.0</v>
      </c>
      <c r="O31" s="34">
        <v>51.0</v>
      </c>
      <c r="P31" s="34">
        <v>10.0</v>
      </c>
      <c r="Q31" s="34">
        <v>0.0</v>
      </c>
      <c r="R31" s="34">
        <v>1.0</v>
      </c>
      <c r="S31" s="34">
        <v>-1.0</v>
      </c>
      <c r="T31" s="34">
        <v>0.0</v>
      </c>
      <c r="U31" s="34">
        <v>0.0</v>
      </c>
      <c r="V31" s="34">
        <v>2.0</v>
      </c>
      <c r="W31" s="34">
        <v>1.5</v>
      </c>
      <c r="X31" s="19">
        <v>0.5</v>
      </c>
      <c r="Y31" s="34">
        <v>2.5</v>
      </c>
      <c r="Z31" s="19">
        <v>5.0</v>
      </c>
      <c r="AA31" s="34">
        <v>1.0</v>
      </c>
      <c r="AB31" s="34">
        <v>18000.0</v>
      </c>
      <c r="AC31" s="34">
        <v>360.0</v>
      </c>
      <c r="AD31" s="19" t="s">
        <v>20</v>
      </c>
      <c r="AE31" s="19" t="s">
        <v>181</v>
      </c>
    </row>
    <row r="32">
      <c r="A32" s="19" t="s">
        <v>182</v>
      </c>
      <c r="B32" s="19" t="s">
        <v>96</v>
      </c>
      <c r="C32" s="19" t="s">
        <v>95</v>
      </c>
      <c r="D32" s="35">
        <v>20051.0</v>
      </c>
      <c r="E32" s="19" t="s">
        <v>228</v>
      </c>
      <c r="F32" s="19">
        <v>470200.0</v>
      </c>
      <c r="G32" s="19">
        <v>450000.0</v>
      </c>
      <c r="H32" s="19" t="s">
        <v>229</v>
      </c>
      <c r="I32" s="19" t="s">
        <v>124</v>
      </c>
      <c r="J32" s="19">
        <v>30.0</v>
      </c>
      <c r="K32" s="19">
        <v>60.0</v>
      </c>
      <c r="L32" s="19">
        <v>10.0</v>
      </c>
      <c r="M32" s="19">
        <v>0.0</v>
      </c>
      <c r="N32" s="34">
        <v>30.24</v>
      </c>
      <c r="O32" s="34">
        <v>59.76</v>
      </c>
      <c r="P32" s="34">
        <v>10.0</v>
      </c>
      <c r="Q32" s="34">
        <v>0.0</v>
      </c>
      <c r="R32" s="34">
        <v>-0.24</v>
      </c>
      <c r="S32" s="34">
        <v>0.24</v>
      </c>
      <c r="T32" s="34">
        <v>0.0</v>
      </c>
      <c r="U32" s="34">
        <v>0.0</v>
      </c>
      <c r="V32" s="34">
        <v>0.48</v>
      </c>
      <c r="W32" s="34">
        <v>0.3</v>
      </c>
      <c r="X32" s="19">
        <v>0.18</v>
      </c>
      <c r="Y32" s="34">
        <v>0.66</v>
      </c>
      <c r="Z32" s="19">
        <v>3.0</v>
      </c>
      <c r="AA32" s="34">
        <v>0.24</v>
      </c>
      <c r="AB32" s="34">
        <v>1128.0</v>
      </c>
      <c r="AC32" s="34">
        <v>1253.0</v>
      </c>
      <c r="AD32" s="19" t="s">
        <v>20</v>
      </c>
      <c r="AE32" s="19" t="s">
        <v>181</v>
      </c>
    </row>
    <row r="33">
      <c r="A33" s="19" t="s">
        <v>185</v>
      </c>
      <c r="B33" s="19" t="s">
        <v>97</v>
      </c>
      <c r="C33" s="19" t="s">
        <v>95</v>
      </c>
      <c r="D33" s="35">
        <v>21776.0</v>
      </c>
      <c r="E33" s="19" t="s">
        <v>230</v>
      </c>
      <c r="F33" s="19">
        <v>860000.0</v>
      </c>
      <c r="G33" s="19">
        <v>800000.0</v>
      </c>
      <c r="H33" s="19" t="s">
        <v>231</v>
      </c>
      <c r="I33" s="19" t="s">
        <v>124</v>
      </c>
      <c r="J33" s="19">
        <v>54.0</v>
      </c>
      <c r="K33" s="19">
        <v>36.0</v>
      </c>
      <c r="L33" s="19">
        <v>10.0</v>
      </c>
      <c r="M33" s="19">
        <v>0.0</v>
      </c>
      <c r="N33" s="34">
        <v>52.1</v>
      </c>
      <c r="O33" s="34">
        <v>37.9</v>
      </c>
      <c r="P33" s="34">
        <v>10.0</v>
      </c>
      <c r="Q33" s="34">
        <v>0.0</v>
      </c>
      <c r="R33" s="34">
        <v>1.9</v>
      </c>
      <c r="S33" s="34">
        <v>-1.9</v>
      </c>
      <c r="T33" s="34">
        <v>0.0</v>
      </c>
      <c r="U33" s="34">
        <v>0.0</v>
      </c>
      <c r="V33" s="34">
        <v>3.8</v>
      </c>
      <c r="W33" s="34">
        <v>3.0</v>
      </c>
      <c r="X33" s="19">
        <v>0.8</v>
      </c>
      <c r="Y33" s="34">
        <v>4.6</v>
      </c>
      <c r="Z33" s="19">
        <v>17.0</v>
      </c>
      <c r="AA33" s="34">
        <v>1.9</v>
      </c>
      <c r="AB33" s="34">
        <v>16340.0</v>
      </c>
      <c r="AC33" s="34">
        <v>158.0</v>
      </c>
      <c r="AD33" s="19" t="s">
        <v>30</v>
      </c>
      <c r="AE33" s="19" t="s">
        <v>31</v>
      </c>
    </row>
    <row r="34">
      <c r="A34" s="19" t="s">
        <v>178</v>
      </c>
      <c r="B34" s="19" t="s">
        <v>98</v>
      </c>
      <c r="C34" s="19" t="s">
        <v>95</v>
      </c>
      <c r="D34" s="35">
        <v>18443.0</v>
      </c>
      <c r="E34" s="19" t="s">
        <v>232</v>
      </c>
      <c r="F34" s="19">
        <v>2400000.0</v>
      </c>
      <c r="G34" s="19">
        <v>1800000.0</v>
      </c>
      <c r="H34" s="19" t="s">
        <v>233</v>
      </c>
      <c r="I34" s="19" t="s">
        <v>124</v>
      </c>
      <c r="J34" s="19">
        <v>48.0</v>
      </c>
      <c r="K34" s="19">
        <v>42.0</v>
      </c>
      <c r="L34" s="19">
        <v>10.0</v>
      </c>
      <c r="M34" s="19">
        <v>0.0</v>
      </c>
      <c r="N34" s="34">
        <v>45.75</v>
      </c>
      <c r="O34" s="34">
        <v>44.25</v>
      </c>
      <c r="P34" s="34">
        <v>10.0</v>
      </c>
      <c r="Q34" s="34">
        <v>0.0</v>
      </c>
      <c r="R34" s="34">
        <v>2.25</v>
      </c>
      <c r="S34" s="34">
        <v>-2.25</v>
      </c>
      <c r="T34" s="34">
        <v>0.0</v>
      </c>
      <c r="U34" s="34">
        <v>0.0</v>
      </c>
      <c r="V34" s="34">
        <v>4.5</v>
      </c>
      <c r="W34" s="34">
        <v>3.5</v>
      </c>
      <c r="X34" s="19">
        <v>1.0</v>
      </c>
      <c r="Y34" s="34">
        <v>5.5</v>
      </c>
      <c r="Z34" s="19">
        <v>20.0</v>
      </c>
      <c r="AA34" s="34">
        <v>2.25</v>
      </c>
      <c r="AB34" s="34">
        <v>54000.0</v>
      </c>
      <c r="AC34" s="34">
        <v>105.0</v>
      </c>
      <c r="AD34" s="19" t="s">
        <v>30</v>
      </c>
      <c r="AE34" s="19" t="s">
        <v>193</v>
      </c>
    </row>
    <row r="35">
      <c r="A35" s="19" t="s">
        <v>178</v>
      </c>
      <c r="B35" s="19" t="s">
        <v>99</v>
      </c>
      <c r="C35" s="19" t="s">
        <v>95</v>
      </c>
      <c r="D35" s="35">
        <v>17851.0</v>
      </c>
      <c r="E35" s="19" t="s">
        <v>234</v>
      </c>
      <c r="F35" s="19">
        <v>950000.0</v>
      </c>
      <c r="G35" s="19">
        <v>750000.0</v>
      </c>
      <c r="H35" s="19" t="s">
        <v>235</v>
      </c>
      <c r="I35" s="19" t="s">
        <v>124</v>
      </c>
      <c r="J35" s="19">
        <v>56.0</v>
      </c>
      <c r="K35" s="19">
        <v>34.0</v>
      </c>
      <c r="L35" s="19">
        <v>10.0</v>
      </c>
      <c r="M35" s="19">
        <v>0.0</v>
      </c>
      <c r="N35" s="34">
        <v>51.4</v>
      </c>
      <c r="O35" s="34">
        <v>38.6</v>
      </c>
      <c r="P35" s="34">
        <v>10.0</v>
      </c>
      <c r="Q35" s="34">
        <v>0.0</v>
      </c>
      <c r="R35" s="34">
        <v>4.6</v>
      </c>
      <c r="S35" s="34">
        <v>-4.6</v>
      </c>
      <c r="T35" s="34">
        <v>0.0</v>
      </c>
      <c r="U35" s="34">
        <v>0.0</v>
      </c>
      <c r="V35" s="34">
        <v>9.2</v>
      </c>
      <c r="W35" s="34">
        <v>7.0</v>
      </c>
      <c r="X35" s="19">
        <v>2.2</v>
      </c>
      <c r="Y35" s="34">
        <v>11.4</v>
      </c>
      <c r="Z35" s="19">
        <v>45.0</v>
      </c>
      <c r="AA35" s="34">
        <v>4.6</v>
      </c>
      <c r="AB35" s="34">
        <v>43700.0</v>
      </c>
      <c r="AC35" s="34">
        <v>0.0</v>
      </c>
      <c r="AD35" s="19" t="s">
        <v>49</v>
      </c>
      <c r="AE35" s="19" t="s">
        <v>193</v>
      </c>
    </row>
    <row r="36">
      <c r="A36" s="19" t="s">
        <v>178</v>
      </c>
      <c r="B36" s="19" t="s">
        <v>100</v>
      </c>
      <c r="C36" s="19" t="s">
        <v>152</v>
      </c>
      <c r="D36" s="35">
        <v>26404.0</v>
      </c>
      <c r="E36" s="19" t="s">
        <v>236</v>
      </c>
      <c r="F36" s="19">
        <v>1.25E7</v>
      </c>
      <c r="G36" s="19">
        <v>8500000.0</v>
      </c>
      <c r="H36" s="19" t="s">
        <v>237</v>
      </c>
      <c r="I36" s="19" t="s">
        <v>134</v>
      </c>
      <c r="J36" s="19">
        <v>55.0</v>
      </c>
      <c r="K36" s="19">
        <v>20.0</v>
      </c>
      <c r="L36" s="19">
        <v>5.0</v>
      </c>
      <c r="M36" s="19">
        <v>20.0</v>
      </c>
      <c r="N36" s="34">
        <v>57.0</v>
      </c>
      <c r="O36" s="34">
        <v>20.0</v>
      </c>
      <c r="P36" s="34">
        <v>5.0</v>
      </c>
      <c r="Q36" s="34">
        <v>18.0</v>
      </c>
      <c r="R36" s="34">
        <v>-2.0</v>
      </c>
      <c r="S36" s="34">
        <v>0.0</v>
      </c>
      <c r="T36" s="34">
        <v>0.0</v>
      </c>
      <c r="U36" s="34">
        <v>2.0</v>
      </c>
      <c r="V36" s="34">
        <v>4.0</v>
      </c>
      <c r="W36" s="34">
        <v>3.5</v>
      </c>
      <c r="X36" s="19">
        <v>0.5</v>
      </c>
      <c r="Y36" s="34">
        <v>4.5</v>
      </c>
      <c r="Z36" s="19">
        <v>5.0</v>
      </c>
      <c r="AA36" s="34">
        <v>2.0</v>
      </c>
      <c r="AB36" s="34">
        <v>250000.0</v>
      </c>
      <c r="AC36" s="34">
        <v>480.0</v>
      </c>
      <c r="AD36" s="19" t="s">
        <v>20</v>
      </c>
      <c r="AE36" s="19" t="s">
        <v>181</v>
      </c>
    </row>
    <row r="37">
      <c r="A37" s="19" t="s">
        <v>185</v>
      </c>
      <c r="B37" s="19" t="s">
        <v>102</v>
      </c>
      <c r="C37" s="19" t="s">
        <v>152</v>
      </c>
      <c r="D37" s="35">
        <v>26614.0</v>
      </c>
      <c r="E37" s="19" t="s">
        <v>238</v>
      </c>
      <c r="F37" s="19">
        <v>9400000.0</v>
      </c>
      <c r="G37" s="19">
        <v>8500000.0</v>
      </c>
      <c r="H37" s="19" t="s">
        <v>239</v>
      </c>
      <c r="I37" s="19" t="s">
        <v>134</v>
      </c>
      <c r="J37" s="19">
        <v>45.0</v>
      </c>
      <c r="K37" s="19">
        <v>25.0</v>
      </c>
      <c r="L37" s="19">
        <v>5.0</v>
      </c>
      <c r="M37" s="19">
        <v>25.0</v>
      </c>
      <c r="N37" s="34">
        <v>45.6</v>
      </c>
      <c r="O37" s="34">
        <v>24.4</v>
      </c>
      <c r="P37" s="34">
        <v>5.0</v>
      </c>
      <c r="Q37" s="34">
        <v>25.0</v>
      </c>
      <c r="R37" s="34">
        <v>-0.6</v>
      </c>
      <c r="S37" s="34">
        <v>0.6</v>
      </c>
      <c r="T37" s="34">
        <v>0.0</v>
      </c>
      <c r="U37" s="34">
        <v>0.0</v>
      </c>
      <c r="V37" s="34">
        <v>1.2</v>
      </c>
      <c r="W37" s="34">
        <v>1.0</v>
      </c>
      <c r="X37" s="19">
        <v>0.2</v>
      </c>
      <c r="Y37" s="34">
        <v>1.4</v>
      </c>
      <c r="Z37" s="19">
        <v>0.0</v>
      </c>
      <c r="AA37" s="34">
        <v>0.6</v>
      </c>
      <c r="AB37" s="34">
        <v>56400.0</v>
      </c>
      <c r="AC37" s="34">
        <v>1620.0</v>
      </c>
      <c r="AD37" s="19" t="s">
        <v>20</v>
      </c>
      <c r="AE37" s="19" t="s">
        <v>181</v>
      </c>
    </row>
    <row r="38">
      <c r="A38" s="19" t="s">
        <v>198</v>
      </c>
      <c r="B38" s="19" t="s">
        <v>103</v>
      </c>
      <c r="C38" s="19" t="s">
        <v>152</v>
      </c>
      <c r="D38" s="35">
        <v>26184.0</v>
      </c>
      <c r="E38" s="19" t="s">
        <v>240</v>
      </c>
      <c r="F38" s="19">
        <v>2150000.0</v>
      </c>
      <c r="G38" s="19">
        <v>800000.0</v>
      </c>
      <c r="H38" s="19" t="s">
        <v>241</v>
      </c>
      <c r="I38" s="19" t="s">
        <v>134</v>
      </c>
      <c r="J38" s="19">
        <v>50.0</v>
      </c>
      <c r="K38" s="19">
        <v>15.0</v>
      </c>
      <c r="L38" s="19">
        <v>5.0</v>
      </c>
      <c r="M38" s="19">
        <v>30.0</v>
      </c>
      <c r="N38" s="34">
        <v>52.5</v>
      </c>
      <c r="O38" s="34">
        <v>15.0</v>
      </c>
      <c r="P38" s="34">
        <v>2.5</v>
      </c>
      <c r="Q38" s="34">
        <v>30.0</v>
      </c>
      <c r="R38" s="34">
        <v>-2.5</v>
      </c>
      <c r="S38" s="34">
        <v>0.0</v>
      </c>
      <c r="T38" s="34">
        <v>2.5</v>
      </c>
      <c r="U38" s="34">
        <v>0.0</v>
      </c>
      <c r="V38" s="34">
        <v>5.0</v>
      </c>
      <c r="W38" s="34">
        <v>4.0</v>
      </c>
      <c r="X38" s="19">
        <v>1.0</v>
      </c>
      <c r="Y38" s="34">
        <v>6.0</v>
      </c>
      <c r="Z38" s="19">
        <v>10.0</v>
      </c>
      <c r="AA38" s="34">
        <v>2.5</v>
      </c>
      <c r="AB38" s="34">
        <v>53750.0</v>
      </c>
      <c r="AC38" s="34">
        <v>210.0</v>
      </c>
      <c r="AD38" s="19" t="s">
        <v>30</v>
      </c>
      <c r="AE38" s="19" t="s">
        <v>131</v>
      </c>
    </row>
    <row r="39">
      <c r="A39" s="19" t="s">
        <v>178</v>
      </c>
      <c r="B39" s="19" t="s">
        <v>104</v>
      </c>
      <c r="C39" s="19" t="s">
        <v>152</v>
      </c>
      <c r="D39" s="35">
        <v>25083.0</v>
      </c>
      <c r="E39" s="19" t="s">
        <v>242</v>
      </c>
      <c r="F39" s="19">
        <v>1.875E7</v>
      </c>
      <c r="G39" s="19">
        <v>1.2E7</v>
      </c>
      <c r="H39" s="19" t="s">
        <v>243</v>
      </c>
      <c r="I39" s="19" t="s">
        <v>134</v>
      </c>
      <c r="J39" s="19">
        <v>62.0</v>
      </c>
      <c r="K39" s="19">
        <v>15.0</v>
      </c>
      <c r="L39" s="19">
        <v>3.0</v>
      </c>
      <c r="M39" s="19">
        <v>20.0</v>
      </c>
      <c r="N39" s="34">
        <v>58.5</v>
      </c>
      <c r="O39" s="34">
        <v>18.5</v>
      </c>
      <c r="P39" s="34">
        <v>3.0</v>
      </c>
      <c r="Q39" s="34">
        <v>20.0</v>
      </c>
      <c r="R39" s="34">
        <v>3.5</v>
      </c>
      <c r="S39" s="34">
        <v>-3.5</v>
      </c>
      <c r="T39" s="34">
        <v>0.0</v>
      </c>
      <c r="U39" s="34">
        <v>0.0</v>
      </c>
      <c r="V39" s="34">
        <v>7.0</v>
      </c>
      <c r="W39" s="34">
        <v>5.0</v>
      </c>
      <c r="X39" s="19">
        <v>2.0</v>
      </c>
      <c r="Y39" s="34">
        <v>9.0</v>
      </c>
      <c r="Z39" s="19">
        <v>12.0</v>
      </c>
      <c r="AA39" s="34">
        <v>3.5</v>
      </c>
      <c r="AB39" s="34">
        <v>656250.0</v>
      </c>
      <c r="AC39" s="34">
        <v>75.0</v>
      </c>
      <c r="AD39" s="19" t="s">
        <v>30</v>
      </c>
      <c r="AE39" s="19" t="s">
        <v>190</v>
      </c>
    </row>
    <row r="40">
      <c r="A40" s="19" t="s">
        <v>178</v>
      </c>
      <c r="B40" s="19" t="s">
        <v>105</v>
      </c>
      <c r="C40" s="19" t="s">
        <v>152</v>
      </c>
      <c r="D40" s="35">
        <v>27421.0</v>
      </c>
      <c r="E40" s="19" t="s">
        <v>244</v>
      </c>
      <c r="F40" s="19">
        <v>9500000.0</v>
      </c>
      <c r="G40" s="19">
        <v>6500000.0</v>
      </c>
      <c r="H40" s="19" t="s">
        <v>245</v>
      </c>
      <c r="I40" s="19" t="s">
        <v>134</v>
      </c>
      <c r="J40" s="19">
        <v>70.0</v>
      </c>
      <c r="K40" s="19">
        <v>10.0</v>
      </c>
      <c r="L40" s="19">
        <v>5.0</v>
      </c>
      <c r="M40" s="19">
        <v>15.0</v>
      </c>
      <c r="N40" s="34">
        <v>63.6</v>
      </c>
      <c r="O40" s="34">
        <v>11.4</v>
      </c>
      <c r="P40" s="34">
        <v>10.0</v>
      </c>
      <c r="Q40" s="34">
        <v>15.0</v>
      </c>
      <c r="R40" s="34">
        <v>6.4</v>
      </c>
      <c r="S40" s="34">
        <v>-1.4</v>
      </c>
      <c r="T40" s="34">
        <v>-5.0</v>
      </c>
      <c r="U40" s="34">
        <v>0.0</v>
      </c>
      <c r="V40" s="34">
        <v>12.8</v>
      </c>
      <c r="W40" s="34">
        <v>8.0</v>
      </c>
      <c r="X40" s="19">
        <v>4.8</v>
      </c>
      <c r="Y40" s="34">
        <v>17.6</v>
      </c>
      <c r="Z40" s="19">
        <v>35.0</v>
      </c>
      <c r="AA40" s="34">
        <v>6.4</v>
      </c>
      <c r="AB40" s="34">
        <v>608000.0</v>
      </c>
      <c r="AC40" s="34">
        <v>0.0</v>
      </c>
      <c r="AD40" s="19" t="s">
        <v>49</v>
      </c>
      <c r="AE40" s="19" t="s">
        <v>215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5" max="15" width="52.38"/>
  </cols>
  <sheetData>
    <row r="1">
      <c r="A1" s="1" t="s">
        <v>0</v>
      </c>
      <c r="B1" s="3"/>
      <c r="C1" s="3"/>
      <c r="D1" s="22"/>
      <c r="E1" s="5" t="s">
        <v>106</v>
      </c>
      <c r="F1" s="21"/>
      <c r="G1" s="21"/>
      <c r="H1" s="21"/>
      <c r="I1" s="21"/>
      <c r="J1" s="1" t="s">
        <v>107</v>
      </c>
      <c r="K1" s="21"/>
      <c r="L1" s="21"/>
      <c r="M1" s="6"/>
      <c r="N1" s="1" t="s">
        <v>108</v>
      </c>
      <c r="O1" s="6"/>
      <c r="P1" s="6"/>
    </row>
    <row r="2">
      <c r="A2" s="23" t="s">
        <v>246</v>
      </c>
      <c r="B2" s="23" t="s">
        <v>30</v>
      </c>
      <c r="C2" s="23" t="s">
        <v>49</v>
      </c>
      <c r="D2" s="22"/>
      <c r="E2" s="24" t="s">
        <v>61</v>
      </c>
      <c r="F2" s="25" t="s">
        <v>114</v>
      </c>
      <c r="G2" s="25" t="s">
        <v>115</v>
      </c>
      <c r="H2" s="26" t="s">
        <v>116</v>
      </c>
      <c r="I2" s="21"/>
      <c r="J2" s="25" t="s">
        <v>117</v>
      </c>
      <c r="K2" s="25" t="s">
        <v>114</v>
      </c>
      <c r="L2" s="25" t="s">
        <v>115</v>
      </c>
      <c r="M2" s="6"/>
      <c r="N2" s="24" t="s">
        <v>118</v>
      </c>
      <c r="O2" s="27" t="s">
        <v>111</v>
      </c>
      <c r="P2" s="27" t="s">
        <v>112</v>
      </c>
    </row>
    <row r="3">
      <c r="A3" s="23" t="s">
        <v>190</v>
      </c>
      <c r="B3" s="12" t="s">
        <v>247</v>
      </c>
      <c r="C3" s="12" t="s">
        <v>248</v>
      </c>
      <c r="D3" s="19"/>
      <c r="E3" s="24" t="s">
        <v>71</v>
      </c>
      <c r="F3" s="28">
        <v>4.0</v>
      </c>
      <c r="G3" s="28">
        <v>8.0</v>
      </c>
      <c r="H3" s="29" t="s">
        <v>124</v>
      </c>
      <c r="I3" s="6"/>
      <c r="J3" s="25" t="s">
        <v>125</v>
      </c>
      <c r="K3" s="30">
        <v>5.0</v>
      </c>
      <c r="L3" s="30">
        <v>10.0</v>
      </c>
      <c r="M3" s="6"/>
      <c r="N3" s="24" t="s">
        <v>14</v>
      </c>
      <c r="O3" s="30" t="s">
        <v>126</v>
      </c>
      <c r="P3" s="30" t="s">
        <v>127</v>
      </c>
    </row>
    <row r="4">
      <c r="A4" s="23" t="s">
        <v>131</v>
      </c>
      <c r="B4" s="12" t="s">
        <v>249</v>
      </c>
      <c r="C4" s="12" t="s">
        <v>250</v>
      </c>
      <c r="D4" s="19"/>
      <c r="E4" s="24" t="s">
        <v>77</v>
      </c>
      <c r="F4" s="28">
        <v>6.0</v>
      </c>
      <c r="G4" s="28">
        <v>12.0</v>
      </c>
      <c r="H4" s="29" t="s">
        <v>134</v>
      </c>
      <c r="I4" s="6"/>
      <c r="J4" s="25" t="s">
        <v>135</v>
      </c>
      <c r="K4" s="30">
        <v>3.0</v>
      </c>
      <c r="L4" s="30">
        <v>6.0</v>
      </c>
      <c r="M4" s="6"/>
      <c r="N4" s="24" t="s">
        <v>136</v>
      </c>
      <c r="O4" s="30" t="s">
        <v>137</v>
      </c>
      <c r="P4" s="30" t="s">
        <v>138</v>
      </c>
    </row>
    <row r="5">
      <c r="A5" s="23" t="s">
        <v>31</v>
      </c>
      <c r="B5" s="12" t="s">
        <v>126</v>
      </c>
      <c r="C5" s="12" t="s">
        <v>127</v>
      </c>
      <c r="D5" s="19"/>
      <c r="E5" s="24" t="s">
        <v>83</v>
      </c>
      <c r="F5" s="28">
        <v>8.0</v>
      </c>
      <c r="G5" s="28">
        <v>15.0</v>
      </c>
      <c r="H5" s="29" t="s">
        <v>143</v>
      </c>
      <c r="I5" s="6"/>
      <c r="J5" s="25" t="s">
        <v>144</v>
      </c>
      <c r="K5" s="30">
        <v>2.0</v>
      </c>
      <c r="L5" s="30">
        <v>5.0</v>
      </c>
      <c r="M5" s="6"/>
      <c r="N5" s="6"/>
      <c r="O5" s="6"/>
      <c r="P5" s="6"/>
    </row>
    <row r="6">
      <c r="A6" s="23" t="s">
        <v>136</v>
      </c>
      <c r="B6" s="12" t="s">
        <v>137</v>
      </c>
      <c r="C6" s="12" t="s">
        <v>138</v>
      </c>
      <c r="D6" s="19"/>
      <c r="E6" s="24" t="s">
        <v>89</v>
      </c>
      <c r="F6" s="28">
        <v>5.0</v>
      </c>
      <c r="G6" s="28">
        <v>10.0</v>
      </c>
      <c r="H6" s="29" t="s">
        <v>124</v>
      </c>
      <c r="I6" s="6"/>
      <c r="J6" s="25" t="s">
        <v>148</v>
      </c>
      <c r="K6" s="30">
        <v>4.0</v>
      </c>
      <c r="L6" s="30">
        <v>8.0</v>
      </c>
      <c r="M6" s="6"/>
      <c r="N6" s="6"/>
      <c r="O6" s="6"/>
      <c r="P6" s="6"/>
    </row>
    <row r="7">
      <c r="A7" s="3"/>
      <c r="B7" s="4"/>
      <c r="C7" s="4"/>
      <c r="D7" s="19"/>
      <c r="E7" s="24" t="s">
        <v>95</v>
      </c>
      <c r="F7" s="31">
        <v>4.0</v>
      </c>
      <c r="G7" s="31">
        <v>8.0</v>
      </c>
      <c r="H7" s="32" t="s">
        <v>124</v>
      </c>
      <c r="I7" s="6"/>
      <c r="J7" s="6"/>
      <c r="K7" s="6"/>
      <c r="L7" s="6"/>
      <c r="M7" s="6"/>
      <c r="N7" s="6"/>
      <c r="O7" s="6"/>
      <c r="P7" s="6"/>
    </row>
    <row r="8">
      <c r="A8" s="3"/>
      <c r="B8" s="4"/>
      <c r="C8" s="4"/>
      <c r="D8" s="19"/>
      <c r="E8" s="24" t="s">
        <v>152</v>
      </c>
      <c r="F8" s="33">
        <v>7.0</v>
      </c>
      <c r="G8" s="33">
        <v>12.0</v>
      </c>
      <c r="H8" s="32" t="s">
        <v>134</v>
      </c>
      <c r="I8" s="6"/>
      <c r="J8" s="6"/>
      <c r="K8" s="6"/>
      <c r="L8" s="6"/>
      <c r="M8" s="6"/>
      <c r="N8" s="6"/>
      <c r="O8" s="6"/>
      <c r="P8" s="6"/>
    </row>
    <row r="10">
      <c r="A10" s="22" t="s">
        <v>155</v>
      </c>
      <c r="B10" s="22" t="s">
        <v>60</v>
      </c>
      <c r="C10" s="22" t="s">
        <v>61</v>
      </c>
      <c r="D10" s="22" t="s">
        <v>156</v>
      </c>
      <c r="E10" s="22" t="s">
        <v>251</v>
      </c>
      <c r="F10" s="22" t="s">
        <v>158</v>
      </c>
      <c r="G10" s="22" t="s">
        <v>159</v>
      </c>
      <c r="H10" s="22" t="s">
        <v>252</v>
      </c>
      <c r="I10" s="22" t="s">
        <v>253</v>
      </c>
      <c r="J10" s="22" t="s">
        <v>254</v>
      </c>
      <c r="K10" s="22" t="s">
        <v>255</v>
      </c>
      <c r="L10" s="22" t="s">
        <v>62</v>
      </c>
      <c r="M10" s="22" t="s">
        <v>161</v>
      </c>
      <c r="N10" s="22" t="s">
        <v>9</v>
      </c>
      <c r="O10" s="22" t="s">
        <v>160</v>
      </c>
      <c r="P10" s="22" t="s">
        <v>256</v>
      </c>
      <c r="Q10" s="22" t="s">
        <v>257</v>
      </c>
      <c r="R10" s="22" t="s">
        <v>258</v>
      </c>
      <c r="S10" s="22" t="s">
        <v>259</v>
      </c>
      <c r="T10" s="22" t="s">
        <v>14</v>
      </c>
      <c r="U10" s="22" t="s">
        <v>174</v>
      </c>
      <c r="V10" s="22" t="s">
        <v>63</v>
      </c>
      <c r="W10" s="22" t="s">
        <v>177</v>
      </c>
      <c r="X10" s="36"/>
      <c r="Y10" s="36"/>
      <c r="Z10" s="36"/>
    </row>
    <row r="11">
      <c r="A11" s="19" t="s">
        <v>178</v>
      </c>
      <c r="B11" s="19" t="s">
        <v>70</v>
      </c>
      <c r="C11" s="19" t="s">
        <v>71</v>
      </c>
      <c r="D11" s="35">
        <v>21287.0</v>
      </c>
      <c r="E11" s="19" t="s">
        <v>179</v>
      </c>
      <c r="F11" s="37">
        <v>850000.0</v>
      </c>
      <c r="G11" s="37">
        <v>650000.0</v>
      </c>
      <c r="H11" s="19">
        <v>18.0</v>
      </c>
      <c r="I11" s="19">
        <v>62.0</v>
      </c>
      <c r="J11" s="19">
        <v>20.0</v>
      </c>
      <c r="K11" s="19">
        <v>0.0</v>
      </c>
      <c r="L11" s="19">
        <v>2.5</v>
      </c>
      <c r="M11" s="19" t="s">
        <v>124</v>
      </c>
      <c r="N11" s="19" t="s">
        <v>20</v>
      </c>
      <c r="O11" s="19" t="s">
        <v>180</v>
      </c>
      <c r="P11" s="19">
        <v>2.0</v>
      </c>
      <c r="Q11" s="19">
        <v>1.0</v>
      </c>
      <c r="R11" s="19">
        <v>0.5</v>
      </c>
      <c r="S11" s="19">
        <v>0.0</v>
      </c>
      <c r="T11" s="19">
        <v>5.0</v>
      </c>
      <c r="U11" s="19">
        <v>1.8</v>
      </c>
      <c r="V11" s="19">
        <v>0.7</v>
      </c>
      <c r="W11" s="19" t="s">
        <v>181</v>
      </c>
    </row>
    <row r="12">
      <c r="A12" s="19" t="s">
        <v>182</v>
      </c>
      <c r="B12" s="19" t="s">
        <v>72</v>
      </c>
      <c r="C12" s="19" t="s">
        <v>71</v>
      </c>
      <c r="D12" s="35">
        <v>22919.0</v>
      </c>
      <c r="E12" s="19" t="s">
        <v>183</v>
      </c>
      <c r="F12" s="37">
        <v>172400.0</v>
      </c>
      <c r="G12" s="37">
        <v>180000.0</v>
      </c>
      <c r="H12" s="19">
        <v>20.0</v>
      </c>
      <c r="I12" s="19">
        <v>60.0</v>
      </c>
      <c r="J12" s="19">
        <v>20.0</v>
      </c>
      <c r="K12" s="19">
        <v>0.0</v>
      </c>
      <c r="L12" s="19">
        <v>2.17</v>
      </c>
      <c r="M12" s="19" t="s">
        <v>124</v>
      </c>
      <c r="N12" s="19" t="s">
        <v>20</v>
      </c>
      <c r="O12" s="19" t="s">
        <v>184</v>
      </c>
      <c r="P12" s="19">
        <v>1.5</v>
      </c>
      <c r="Q12" s="19">
        <v>1.0</v>
      </c>
      <c r="R12" s="19">
        <v>0.5</v>
      </c>
      <c r="S12" s="19">
        <v>0.0</v>
      </c>
      <c r="T12" s="19">
        <v>3.0</v>
      </c>
      <c r="U12" s="19">
        <v>1.9</v>
      </c>
      <c r="V12" s="19">
        <v>0.3</v>
      </c>
      <c r="W12" s="19" t="s">
        <v>181</v>
      </c>
    </row>
    <row r="13">
      <c r="A13" s="19" t="s">
        <v>185</v>
      </c>
      <c r="B13" s="19" t="s">
        <v>73</v>
      </c>
      <c r="C13" s="19" t="s">
        <v>71</v>
      </c>
      <c r="D13" s="35">
        <v>23337.0</v>
      </c>
      <c r="E13" s="19" t="s">
        <v>186</v>
      </c>
      <c r="F13" s="37">
        <v>1250000.0</v>
      </c>
      <c r="G13" s="37">
        <v>1200000.0</v>
      </c>
      <c r="H13" s="19">
        <v>22.5</v>
      </c>
      <c r="I13" s="19">
        <v>70.0</v>
      </c>
      <c r="J13" s="19">
        <v>7.5</v>
      </c>
      <c r="K13" s="19">
        <v>0.0</v>
      </c>
      <c r="L13" s="19">
        <v>3.5</v>
      </c>
      <c r="M13" s="19" t="s">
        <v>124</v>
      </c>
      <c r="N13" s="19" t="s">
        <v>30</v>
      </c>
      <c r="O13" s="19" t="s">
        <v>187</v>
      </c>
      <c r="P13" s="19">
        <v>5.5</v>
      </c>
      <c r="Q13" s="19">
        <v>2.0</v>
      </c>
      <c r="R13" s="19">
        <v>1.0</v>
      </c>
      <c r="S13" s="19">
        <v>0.0</v>
      </c>
      <c r="T13" s="19">
        <v>6.0</v>
      </c>
      <c r="U13" s="19">
        <v>3.0</v>
      </c>
      <c r="V13" s="19">
        <v>0.5</v>
      </c>
      <c r="W13" s="19" t="s">
        <v>131</v>
      </c>
    </row>
    <row r="14">
      <c r="A14" s="19" t="s">
        <v>178</v>
      </c>
      <c r="B14" s="19" t="s">
        <v>74</v>
      </c>
      <c r="C14" s="19" t="s">
        <v>71</v>
      </c>
      <c r="D14" s="35">
        <v>22512.0</v>
      </c>
      <c r="E14" s="19" t="s">
        <v>188</v>
      </c>
      <c r="F14" s="37">
        <v>1200000.0</v>
      </c>
      <c r="G14" s="37">
        <v>900000.0</v>
      </c>
      <c r="H14" s="19">
        <v>22.0</v>
      </c>
      <c r="I14" s="19">
        <v>58.0</v>
      </c>
      <c r="J14" s="19">
        <v>20.0</v>
      </c>
      <c r="K14" s="19">
        <v>0.0</v>
      </c>
      <c r="L14" s="19">
        <v>4.0</v>
      </c>
      <c r="M14" s="19" t="s">
        <v>124</v>
      </c>
      <c r="N14" s="19" t="s">
        <v>30</v>
      </c>
      <c r="O14" s="19" t="s">
        <v>189</v>
      </c>
      <c r="P14" s="19">
        <v>3.0</v>
      </c>
      <c r="Q14" s="19">
        <v>2.0</v>
      </c>
      <c r="R14" s="19">
        <v>1.0</v>
      </c>
      <c r="S14" s="19">
        <v>0.0</v>
      </c>
      <c r="T14" s="19">
        <v>8.0</v>
      </c>
      <c r="U14" s="19">
        <v>2.5</v>
      </c>
      <c r="V14" s="19">
        <v>1.5</v>
      </c>
      <c r="W14" s="19" t="s">
        <v>190</v>
      </c>
    </row>
    <row r="15">
      <c r="A15" s="19" t="s">
        <v>185</v>
      </c>
      <c r="B15" s="19" t="s">
        <v>75</v>
      </c>
      <c r="C15" s="19" t="s">
        <v>71</v>
      </c>
      <c r="D15" s="35">
        <v>26150.0</v>
      </c>
      <c r="E15" s="19" t="s">
        <v>260</v>
      </c>
      <c r="F15" s="37">
        <v>310000.0</v>
      </c>
      <c r="G15" s="37">
        <v>300000.0</v>
      </c>
      <c r="H15" s="19">
        <v>26.5</v>
      </c>
      <c r="I15" s="19">
        <v>65.0</v>
      </c>
      <c r="J15" s="19">
        <v>8.5</v>
      </c>
      <c r="K15" s="19">
        <v>0.0</v>
      </c>
      <c r="L15" s="19">
        <v>7.5</v>
      </c>
      <c r="M15" s="19" t="s">
        <v>124</v>
      </c>
      <c r="N15" s="19" t="s">
        <v>49</v>
      </c>
      <c r="O15" s="19" t="s">
        <v>192</v>
      </c>
      <c r="P15" s="19">
        <v>8.5</v>
      </c>
      <c r="Q15" s="19">
        <v>4.0</v>
      </c>
      <c r="R15" s="19">
        <v>2.0</v>
      </c>
      <c r="S15" s="19">
        <v>0.0</v>
      </c>
      <c r="T15" s="19">
        <v>35.0</v>
      </c>
      <c r="U15" s="19">
        <v>5.0</v>
      </c>
      <c r="V15" s="19">
        <v>2.5</v>
      </c>
      <c r="W15" s="19" t="s">
        <v>193</v>
      </c>
    </row>
    <row r="16">
      <c r="A16" s="19" t="s">
        <v>178</v>
      </c>
      <c r="B16" s="19" t="s">
        <v>76</v>
      </c>
      <c r="C16" s="19" t="s">
        <v>77</v>
      </c>
      <c r="D16" s="35">
        <v>29298.0</v>
      </c>
      <c r="E16" s="19" t="s">
        <v>194</v>
      </c>
      <c r="F16" s="37">
        <v>950000.0</v>
      </c>
      <c r="G16" s="37">
        <v>650000.0</v>
      </c>
      <c r="H16" s="19">
        <v>55.0</v>
      </c>
      <c r="I16" s="19">
        <v>35.0</v>
      </c>
      <c r="J16" s="19">
        <v>10.0</v>
      </c>
      <c r="K16" s="19">
        <v>0.0</v>
      </c>
      <c r="L16" s="19">
        <v>3.2</v>
      </c>
      <c r="M16" s="19" t="s">
        <v>134</v>
      </c>
      <c r="N16" s="19" t="s">
        <v>20</v>
      </c>
      <c r="O16" s="19" t="s">
        <v>195</v>
      </c>
      <c r="P16" s="19">
        <v>2.5</v>
      </c>
      <c r="Q16" s="19">
        <v>1.5</v>
      </c>
      <c r="R16" s="19">
        <v>0.5</v>
      </c>
      <c r="S16" s="19">
        <v>0.0</v>
      </c>
      <c r="T16" s="19">
        <v>4.0</v>
      </c>
      <c r="U16" s="19">
        <v>2.8</v>
      </c>
      <c r="V16" s="19">
        <v>0.4</v>
      </c>
      <c r="W16" s="19" t="s">
        <v>181</v>
      </c>
    </row>
    <row r="17">
      <c r="A17" s="19" t="s">
        <v>182</v>
      </c>
      <c r="B17" s="19" t="s">
        <v>78</v>
      </c>
      <c r="C17" s="19" t="s">
        <v>77</v>
      </c>
      <c r="D17" s="35">
        <v>30007.0</v>
      </c>
      <c r="E17" s="19" t="s">
        <v>196</v>
      </c>
      <c r="F17" s="37">
        <v>190300.0</v>
      </c>
      <c r="G17" s="37">
        <v>175000.0</v>
      </c>
      <c r="H17" s="19">
        <v>58.0</v>
      </c>
      <c r="I17" s="19">
        <v>32.0</v>
      </c>
      <c r="J17" s="19">
        <v>10.0</v>
      </c>
      <c r="K17" s="19">
        <v>0.0</v>
      </c>
      <c r="L17" s="19">
        <v>3.45</v>
      </c>
      <c r="M17" s="19" t="s">
        <v>134</v>
      </c>
      <c r="N17" s="19" t="s">
        <v>20</v>
      </c>
      <c r="O17" s="19" t="s">
        <v>197</v>
      </c>
      <c r="P17" s="19">
        <v>3.0</v>
      </c>
      <c r="Q17" s="19">
        <v>1.0</v>
      </c>
      <c r="R17" s="19">
        <v>0.5</v>
      </c>
      <c r="S17" s="19">
        <v>0.0</v>
      </c>
      <c r="T17" s="19">
        <v>7.0</v>
      </c>
      <c r="U17" s="19">
        <v>3.0</v>
      </c>
      <c r="V17" s="19">
        <v>0.5</v>
      </c>
      <c r="W17" s="19" t="s">
        <v>181</v>
      </c>
    </row>
    <row r="18">
      <c r="A18" s="19" t="s">
        <v>198</v>
      </c>
      <c r="B18" s="19" t="s">
        <v>79</v>
      </c>
      <c r="C18" s="19" t="s">
        <v>77</v>
      </c>
      <c r="D18" s="35">
        <v>30141.0</v>
      </c>
      <c r="E18" s="19" t="s">
        <v>261</v>
      </c>
      <c r="F18" s="37">
        <v>78000.0</v>
      </c>
      <c r="G18" s="37">
        <v>30000.0</v>
      </c>
      <c r="H18" s="19">
        <v>55.0</v>
      </c>
      <c r="I18" s="19">
        <v>25.0</v>
      </c>
      <c r="J18" s="19">
        <v>10.0</v>
      </c>
      <c r="K18" s="19">
        <v>10.0</v>
      </c>
      <c r="L18" s="19">
        <v>4.0</v>
      </c>
      <c r="M18" s="19" t="s">
        <v>134</v>
      </c>
      <c r="N18" s="19" t="s">
        <v>30</v>
      </c>
      <c r="O18" s="19" t="s">
        <v>200</v>
      </c>
      <c r="P18" s="19">
        <v>2.0</v>
      </c>
      <c r="Q18" s="19">
        <v>1.0</v>
      </c>
      <c r="R18" s="19">
        <v>0.5</v>
      </c>
      <c r="S18" s="19">
        <v>0.0</v>
      </c>
      <c r="T18" s="19">
        <v>18.0</v>
      </c>
      <c r="U18" s="19">
        <v>3.5</v>
      </c>
      <c r="V18" s="19">
        <v>0.5</v>
      </c>
      <c r="W18" s="19" t="s">
        <v>31</v>
      </c>
    </row>
    <row r="19">
      <c r="A19" s="19" t="s">
        <v>185</v>
      </c>
      <c r="B19" s="19" t="s">
        <v>80</v>
      </c>
      <c r="C19" s="19" t="s">
        <v>77</v>
      </c>
      <c r="D19" s="35">
        <v>31342.0</v>
      </c>
      <c r="E19" s="19" t="s">
        <v>201</v>
      </c>
      <c r="F19" s="37">
        <v>290000.0</v>
      </c>
      <c r="G19" s="37">
        <v>250000.0</v>
      </c>
      <c r="H19" s="19">
        <v>61.0</v>
      </c>
      <c r="I19" s="19">
        <v>34.0</v>
      </c>
      <c r="J19" s="19">
        <v>5.0</v>
      </c>
      <c r="K19" s="19">
        <v>0.0</v>
      </c>
      <c r="L19" s="19">
        <v>6.0</v>
      </c>
      <c r="M19" s="19" t="s">
        <v>134</v>
      </c>
      <c r="N19" s="19" t="s">
        <v>30</v>
      </c>
      <c r="O19" s="19" t="s">
        <v>202</v>
      </c>
      <c r="P19" s="19">
        <v>4.5</v>
      </c>
      <c r="Q19" s="19">
        <v>2.5</v>
      </c>
      <c r="R19" s="19">
        <v>1.0</v>
      </c>
      <c r="S19" s="19">
        <v>0.0</v>
      </c>
      <c r="T19" s="19">
        <v>10.0</v>
      </c>
      <c r="U19" s="19">
        <v>4.5</v>
      </c>
      <c r="V19" s="19">
        <v>1.5</v>
      </c>
      <c r="W19" s="19" t="s">
        <v>190</v>
      </c>
    </row>
    <row r="20">
      <c r="A20" s="19" t="s">
        <v>185</v>
      </c>
      <c r="B20" s="19" t="s">
        <v>81</v>
      </c>
      <c r="C20" s="19" t="s">
        <v>77</v>
      </c>
      <c r="D20" s="35">
        <v>27097.0</v>
      </c>
      <c r="E20" s="19" t="s">
        <v>262</v>
      </c>
      <c r="F20" s="37">
        <v>1250000.0</v>
      </c>
      <c r="G20" s="37">
        <v>1100000.0</v>
      </c>
      <c r="H20" s="19">
        <v>66.5</v>
      </c>
      <c r="I20" s="19">
        <v>30.0</v>
      </c>
      <c r="J20" s="19">
        <v>3.5</v>
      </c>
      <c r="K20" s="19">
        <v>0.0</v>
      </c>
      <c r="L20" s="19">
        <v>11.5</v>
      </c>
      <c r="M20" s="19" t="s">
        <v>134</v>
      </c>
      <c r="N20" s="19" t="s">
        <v>49</v>
      </c>
      <c r="O20" s="19" t="s">
        <v>204</v>
      </c>
      <c r="P20" s="19">
        <v>8.0</v>
      </c>
      <c r="Q20" s="19">
        <v>4.0</v>
      </c>
      <c r="R20" s="19">
        <v>2.0</v>
      </c>
      <c r="S20" s="19">
        <v>0.0</v>
      </c>
      <c r="T20" s="19">
        <v>40.0</v>
      </c>
      <c r="U20" s="19">
        <v>8.0</v>
      </c>
      <c r="V20" s="19">
        <v>3.5</v>
      </c>
      <c r="W20" s="19" t="s">
        <v>190</v>
      </c>
    </row>
    <row r="21">
      <c r="A21" s="19" t="s">
        <v>178</v>
      </c>
      <c r="B21" s="19" t="s">
        <v>82</v>
      </c>
      <c r="C21" s="19" t="s">
        <v>83</v>
      </c>
      <c r="D21" s="35">
        <v>34978.0</v>
      </c>
      <c r="E21" s="19" t="s">
        <v>205</v>
      </c>
      <c r="F21" s="37">
        <v>325000.0</v>
      </c>
      <c r="G21" s="37">
        <v>200000.0</v>
      </c>
      <c r="H21" s="19">
        <v>80.0</v>
      </c>
      <c r="I21" s="19">
        <v>10.0</v>
      </c>
      <c r="J21" s="19">
        <v>5.0</v>
      </c>
      <c r="K21" s="19">
        <v>5.0</v>
      </c>
      <c r="L21" s="19">
        <v>5.0</v>
      </c>
      <c r="M21" s="19" t="s">
        <v>143</v>
      </c>
      <c r="N21" s="19" t="s">
        <v>20</v>
      </c>
      <c r="O21" s="19" t="s">
        <v>206</v>
      </c>
      <c r="P21" s="19">
        <v>4.0</v>
      </c>
      <c r="Q21" s="19">
        <v>2.0</v>
      </c>
      <c r="R21" s="19">
        <v>1.0</v>
      </c>
      <c r="S21" s="19">
        <v>1.0</v>
      </c>
      <c r="T21" s="19">
        <v>5.0</v>
      </c>
      <c r="U21" s="19">
        <v>4.0</v>
      </c>
      <c r="V21" s="19">
        <v>1.0</v>
      </c>
      <c r="W21" s="19" t="s">
        <v>181</v>
      </c>
    </row>
    <row r="22">
      <c r="A22" s="19" t="s">
        <v>198</v>
      </c>
      <c r="B22" s="19" t="s">
        <v>84</v>
      </c>
      <c r="C22" s="19" t="s">
        <v>83</v>
      </c>
      <c r="D22" s="35">
        <v>34925.0</v>
      </c>
      <c r="E22" s="19" t="s">
        <v>263</v>
      </c>
      <c r="F22" s="37">
        <v>38000.0</v>
      </c>
      <c r="G22" s="37">
        <v>15000.0</v>
      </c>
      <c r="H22" s="19">
        <v>80.0</v>
      </c>
      <c r="I22" s="19">
        <v>0.0</v>
      </c>
      <c r="J22" s="19">
        <v>5.0</v>
      </c>
      <c r="K22" s="19">
        <v>5.0</v>
      </c>
      <c r="L22" s="19">
        <v>4.0</v>
      </c>
      <c r="M22" s="19" t="s">
        <v>143</v>
      </c>
      <c r="N22" s="19" t="s">
        <v>20</v>
      </c>
      <c r="O22" s="19" t="s">
        <v>208</v>
      </c>
      <c r="P22" s="19">
        <v>3.5</v>
      </c>
      <c r="Q22" s="19">
        <v>1.0</v>
      </c>
      <c r="R22" s="19">
        <v>0.5</v>
      </c>
      <c r="S22" s="19">
        <v>0.5</v>
      </c>
      <c r="T22" s="19">
        <v>4.0</v>
      </c>
      <c r="U22" s="19">
        <v>3.0</v>
      </c>
      <c r="V22" s="19">
        <v>1.0</v>
      </c>
      <c r="W22" s="19" t="s">
        <v>181</v>
      </c>
    </row>
    <row r="23">
      <c r="A23" s="19" t="s">
        <v>185</v>
      </c>
      <c r="B23" s="19" t="s">
        <v>85</v>
      </c>
      <c r="C23" s="19" t="s">
        <v>83</v>
      </c>
      <c r="D23" s="35">
        <v>32214.0</v>
      </c>
      <c r="E23" s="19" t="s">
        <v>209</v>
      </c>
      <c r="F23" s="37">
        <v>530000.0</v>
      </c>
      <c r="G23" s="37">
        <v>450000.0</v>
      </c>
      <c r="H23" s="19">
        <v>87.5</v>
      </c>
      <c r="I23" s="19">
        <v>10.0</v>
      </c>
      <c r="J23" s="19">
        <v>2.5</v>
      </c>
      <c r="K23" s="19">
        <v>0.0</v>
      </c>
      <c r="L23" s="19">
        <v>7.5</v>
      </c>
      <c r="M23" s="19" t="s">
        <v>143</v>
      </c>
      <c r="N23" s="19" t="s">
        <v>30</v>
      </c>
      <c r="O23" s="19" t="s">
        <v>210</v>
      </c>
      <c r="P23" s="19">
        <v>5.0</v>
      </c>
      <c r="Q23" s="19">
        <v>2.0</v>
      </c>
      <c r="R23" s="19">
        <v>1.0</v>
      </c>
      <c r="S23" s="19">
        <v>0.0</v>
      </c>
      <c r="T23" s="19">
        <v>12.0</v>
      </c>
      <c r="U23" s="19">
        <v>5.0</v>
      </c>
      <c r="V23" s="19">
        <v>2.5</v>
      </c>
      <c r="W23" s="19" t="s">
        <v>136</v>
      </c>
    </row>
    <row r="24">
      <c r="A24" s="19" t="s">
        <v>178</v>
      </c>
      <c r="B24" s="19" t="s">
        <v>86</v>
      </c>
      <c r="C24" s="19" t="s">
        <v>83</v>
      </c>
      <c r="D24" s="35">
        <v>34087.0</v>
      </c>
      <c r="E24" s="19" t="s">
        <v>211</v>
      </c>
      <c r="F24" s="37">
        <v>875000.0</v>
      </c>
      <c r="G24" s="37">
        <v>500000.0</v>
      </c>
      <c r="H24" s="19">
        <v>88.0</v>
      </c>
      <c r="I24" s="19">
        <v>7.0</v>
      </c>
      <c r="J24" s="19">
        <v>5.0</v>
      </c>
      <c r="K24" s="19">
        <v>0.0</v>
      </c>
      <c r="L24" s="19">
        <v>8.0</v>
      </c>
      <c r="M24" s="19" t="s">
        <v>143</v>
      </c>
      <c r="N24" s="19" t="s">
        <v>30</v>
      </c>
      <c r="O24" s="19" t="s">
        <v>212</v>
      </c>
      <c r="P24" s="19">
        <v>6.0</v>
      </c>
      <c r="Q24" s="19">
        <v>3.0</v>
      </c>
      <c r="R24" s="19">
        <v>1.0</v>
      </c>
      <c r="S24" s="19">
        <v>0.0</v>
      </c>
      <c r="T24" s="19">
        <v>10.0</v>
      </c>
      <c r="U24" s="19">
        <v>6.0</v>
      </c>
      <c r="V24" s="19">
        <v>2.0</v>
      </c>
      <c r="W24" s="19" t="s">
        <v>190</v>
      </c>
    </row>
    <row r="25">
      <c r="A25" s="19" t="s">
        <v>185</v>
      </c>
      <c r="B25" s="19" t="s">
        <v>87</v>
      </c>
      <c r="C25" s="19" t="s">
        <v>83</v>
      </c>
      <c r="D25" s="35">
        <v>28056.0</v>
      </c>
      <c r="E25" s="19" t="s">
        <v>264</v>
      </c>
      <c r="F25" s="37">
        <v>2600000.0</v>
      </c>
      <c r="G25" s="37">
        <v>2100000.0</v>
      </c>
      <c r="H25" s="19">
        <v>93.0</v>
      </c>
      <c r="I25" s="19">
        <v>5.0</v>
      </c>
      <c r="J25" s="19">
        <v>2.0</v>
      </c>
      <c r="K25" s="19">
        <v>0.0</v>
      </c>
      <c r="L25" s="19">
        <v>16.0</v>
      </c>
      <c r="M25" s="19" t="s">
        <v>143</v>
      </c>
      <c r="N25" s="19" t="s">
        <v>49</v>
      </c>
      <c r="O25" s="19" t="s">
        <v>214</v>
      </c>
      <c r="P25" s="19">
        <v>11.0</v>
      </c>
      <c r="Q25" s="19">
        <v>5.0</v>
      </c>
      <c r="R25" s="19">
        <v>2.0</v>
      </c>
      <c r="S25" s="19">
        <v>0.0</v>
      </c>
      <c r="T25" s="19">
        <v>35.0</v>
      </c>
      <c r="U25" s="19">
        <v>10.0</v>
      </c>
      <c r="V25" s="19">
        <v>6.0</v>
      </c>
      <c r="W25" s="19" t="s">
        <v>215</v>
      </c>
    </row>
    <row r="26">
      <c r="A26" s="19" t="s">
        <v>178</v>
      </c>
      <c r="B26" s="19" t="s">
        <v>88</v>
      </c>
      <c r="C26" s="19" t="s">
        <v>89</v>
      </c>
      <c r="D26" s="35">
        <v>22040.0</v>
      </c>
      <c r="E26" s="19" t="s">
        <v>216</v>
      </c>
      <c r="F26" s="37">
        <v>1100000.0</v>
      </c>
      <c r="G26" s="37">
        <v>850000.0</v>
      </c>
      <c r="H26" s="19">
        <v>30.0</v>
      </c>
      <c r="I26" s="19">
        <v>55.0</v>
      </c>
      <c r="J26" s="19">
        <v>15.0</v>
      </c>
      <c r="K26" s="19">
        <v>0.0</v>
      </c>
      <c r="L26" s="19">
        <v>3.5</v>
      </c>
      <c r="M26" s="19" t="s">
        <v>124</v>
      </c>
      <c r="N26" s="19" t="s">
        <v>20</v>
      </c>
      <c r="O26" s="19" t="s">
        <v>217</v>
      </c>
      <c r="P26" s="19">
        <v>2.5</v>
      </c>
      <c r="Q26" s="19">
        <v>1.0</v>
      </c>
      <c r="R26" s="19">
        <v>0.5</v>
      </c>
      <c r="S26" s="19">
        <v>0.0</v>
      </c>
      <c r="T26" s="19">
        <v>5.0</v>
      </c>
      <c r="U26" s="19">
        <v>3.0</v>
      </c>
      <c r="V26" s="19">
        <v>0.5</v>
      </c>
      <c r="W26" s="19" t="s">
        <v>181</v>
      </c>
    </row>
    <row r="27">
      <c r="A27" s="19" t="s">
        <v>182</v>
      </c>
      <c r="B27" s="19" t="s">
        <v>90</v>
      </c>
      <c r="C27" s="19" t="s">
        <v>89</v>
      </c>
      <c r="D27" s="35">
        <v>24020.0</v>
      </c>
      <c r="E27" s="19" t="s">
        <v>218</v>
      </c>
      <c r="F27" s="37">
        <v>315400.0</v>
      </c>
      <c r="G27" s="37">
        <v>300000.0</v>
      </c>
      <c r="H27" s="19">
        <v>30.0</v>
      </c>
      <c r="I27" s="19">
        <v>55.0</v>
      </c>
      <c r="J27" s="19">
        <v>15.0</v>
      </c>
      <c r="K27" s="19">
        <v>0.0</v>
      </c>
      <c r="L27" s="19">
        <v>2.89</v>
      </c>
      <c r="M27" s="19" t="s">
        <v>124</v>
      </c>
      <c r="N27" s="19" t="s">
        <v>20</v>
      </c>
      <c r="O27" s="19" t="s">
        <v>219</v>
      </c>
      <c r="P27" s="19">
        <v>2.0</v>
      </c>
      <c r="Q27" s="19">
        <v>1.0</v>
      </c>
      <c r="R27" s="19">
        <v>0.5</v>
      </c>
      <c r="S27" s="19">
        <v>0.0</v>
      </c>
      <c r="T27" s="19">
        <v>4.0</v>
      </c>
      <c r="U27" s="19">
        <v>2.0</v>
      </c>
      <c r="V27" s="19">
        <v>0.9</v>
      </c>
      <c r="W27" s="19" t="s">
        <v>181</v>
      </c>
    </row>
    <row r="28">
      <c r="A28" s="19" t="s">
        <v>185</v>
      </c>
      <c r="B28" s="19" t="s">
        <v>91</v>
      </c>
      <c r="C28" s="19" t="s">
        <v>89</v>
      </c>
      <c r="D28" s="35">
        <v>27669.0</v>
      </c>
      <c r="E28" s="19" t="s">
        <v>220</v>
      </c>
      <c r="F28" s="37">
        <v>1020000.0</v>
      </c>
      <c r="G28" s="37">
        <v>950000.0</v>
      </c>
      <c r="H28" s="19">
        <v>39.5</v>
      </c>
      <c r="I28" s="19">
        <v>55.0</v>
      </c>
      <c r="J28" s="19">
        <v>5.5</v>
      </c>
      <c r="K28" s="19">
        <v>0.0</v>
      </c>
      <c r="L28" s="19">
        <v>4.5</v>
      </c>
      <c r="M28" s="19" t="s">
        <v>124</v>
      </c>
      <c r="N28" s="19" t="s">
        <v>30</v>
      </c>
      <c r="O28" s="19" t="s">
        <v>221</v>
      </c>
      <c r="P28" s="19">
        <v>4.0</v>
      </c>
      <c r="Q28" s="19">
        <v>2.0</v>
      </c>
      <c r="R28" s="19">
        <v>1.0</v>
      </c>
      <c r="S28" s="19">
        <v>0.0</v>
      </c>
      <c r="T28" s="19">
        <v>10.0</v>
      </c>
      <c r="U28" s="19">
        <v>3.5</v>
      </c>
      <c r="V28" s="19">
        <v>1.0</v>
      </c>
      <c r="W28" s="19" t="s">
        <v>190</v>
      </c>
    </row>
    <row r="29">
      <c r="A29" s="19" t="s">
        <v>178</v>
      </c>
      <c r="B29" s="19" t="s">
        <v>92</v>
      </c>
      <c r="C29" s="19" t="s">
        <v>89</v>
      </c>
      <c r="D29" s="35">
        <v>21078.0</v>
      </c>
      <c r="E29" s="19" t="s">
        <v>222</v>
      </c>
      <c r="F29" s="37">
        <v>1650000.0</v>
      </c>
      <c r="G29" s="37">
        <v>1250000.0</v>
      </c>
      <c r="H29" s="19">
        <v>36.0</v>
      </c>
      <c r="I29" s="19">
        <v>49.0</v>
      </c>
      <c r="J29" s="19">
        <v>15.0</v>
      </c>
      <c r="K29" s="19">
        <v>0.0</v>
      </c>
      <c r="L29" s="19">
        <v>5.0</v>
      </c>
      <c r="M29" s="19" t="s">
        <v>124</v>
      </c>
      <c r="N29" s="19" t="s">
        <v>30</v>
      </c>
      <c r="O29" s="19" t="s">
        <v>223</v>
      </c>
      <c r="P29" s="19">
        <v>5.0</v>
      </c>
      <c r="Q29" s="19">
        <v>3.0</v>
      </c>
      <c r="R29" s="19">
        <v>1.0</v>
      </c>
      <c r="S29" s="19">
        <v>0.0</v>
      </c>
      <c r="T29" s="19">
        <v>12.0</v>
      </c>
      <c r="U29" s="19">
        <v>4.0</v>
      </c>
      <c r="V29" s="19">
        <v>1.0</v>
      </c>
      <c r="W29" s="19" t="s">
        <v>190</v>
      </c>
    </row>
    <row r="30">
      <c r="A30" s="19" t="s">
        <v>178</v>
      </c>
      <c r="B30" s="19" t="s">
        <v>93</v>
      </c>
      <c r="C30" s="19" t="s">
        <v>89</v>
      </c>
      <c r="D30" s="35">
        <v>22654.0</v>
      </c>
      <c r="E30" s="19" t="s">
        <v>224</v>
      </c>
      <c r="F30" s="37">
        <v>780000.0</v>
      </c>
      <c r="G30" s="37">
        <v>600000.0</v>
      </c>
      <c r="H30" s="19">
        <v>42.0</v>
      </c>
      <c r="I30" s="19">
        <v>43.0</v>
      </c>
      <c r="J30" s="19">
        <v>15.0</v>
      </c>
      <c r="K30" s="19">
        <v>0.0</v>
      </c>
      <c r="L30" s="19">
        <v>9.5</v>
      </c>
      <c r="M30" s="19" t="s">
        <v>124</v>
      </c>
      <c r="N30" s="19" t="s">
        <v>49</v>
      </c>
      <c r="O30" s="19" t="s">
        <v>225</v>
      </c>
      <c r="P30" s="19">
        <v>9.0</v>
      </c>
      <c r="Q30" s="19">
        <v>5.0</v>
      </c>
      <c r="R30" s="19">
        <v>2.0</v>
      </c>
      <c r="S30" s="19">
        <v>0.0</v>
      </c>
      <c r="T30" s="19">
        <v>32.0</v>
      </c>
      <c r="U30" s="19">
        <v>7.0</v>
      </c>
      <c r="V30" s="19">
        <v>2.5</v>
      </c>
      <c r="W30" s="19" t="s">
        <v>190</v>
      </c>
    </row>
    <row r="31">
      <c r="A31" s="19" t="s">
        <v>178</v>
      </c>
      <c r="B31" s="19" t="s">
        <v>94</v>
      </c>
      <c r="C31" s="19" t="s">
        <v>95</v>
      </c>
      <c r="D31" s="35">
        <v>19065.0</v>
      </c>
      <c r="E31" s="19" t="s">
        <v>226</v>
      </c>
      <c r="F31" s="37">
        <v>1800000.0</v>
      </c>
      <c r="G31" s="37">
        <v>1300000.0</v>
      </c>
      <c r="H31" s="19">
        <v>40.0</v>
      </c>
      <c r="I31" s="19">
        <v>50.0</v>
      </c>
      <c r="J31" s="19">
        <v>10.0</v>
      </c>
      <c r="K31" s="19">
        <v>0.0</v>
      </c>
      <c r="L31" s="19">
        <v>2.0</v>
      </c>
      <c r="M31" s="19" t="s">
        <v>124</v>
      </c>
      <c r="N31" s="19" t="s">
        <v>20</v>
      </c>
      <c r="O31" s="19" t="s">
        <v>227</v>
      </c>
      <c r="P31" s="19">
        <v>2.0</v>
      </c>
      <c r="Q31" s="19">
        <v>1.0</v>
      </c>
      <c r="R31" s="19">
        <v>0.5</v>
      </c>
      <c r="S31" s="19">
        <v>0.0</v>
      </c>
      <c r="T31" s="19">
        <v>5.0</v>
      </c>
      <c r="U31" s="19">
        <v>1.5</v>
      </c>
      <c r="V31" s="19">
        <v>0.5</v>
      </c>
      <c r="W31" s="19" t="s">
        <v>181</v>
      </c>
    </row>
    <row r="32">
      <c r="A32" s="19" t="s">
        <v>182</v>
      </c>
      <c r="B32" s="19" t="s">
        <v>96</v>
      </c>
      <c r="C32" s="19" t="s">
        <v>95</v>
      </c>
      <c r="D32" s="35">
        <v>20051.0</v>
      </c>
      <c r="E32" s="19" t="s">
        <v>228</v>
      </c>
      <c r="F32" s="37">
        <v>470200.0</v>
      </c>
      <c r="G32" s="37">
        <v>450000.0</v>
      </c>
      <c r="H32" s="19">
        <v>30.0</v>
      </c>
      <c r="I32" s="19">
        <v>60.0</v>
      </c>
      <c r="J32" s="19">
        <v>10.0</v>
      </c>
      <c r="K32" s="19">
        <v>0.0</v>
      </c>
      <c r="L32" s="19">
        <v>0.48</v>
      </c>
      <c r="M32" s="19" t="s">
        <v>124</v>
      </c>
      <c r="N32" s="19" t="s">
        <v>20</v>
      </c>
      <c r="O32" s="19" t="s">
        <v>229</v>
      </c>
      <c r="P32" s="19">
        <v>1.0</v>
      </c>
      <c r="Q32" s="19">
        <v>0.5</v>
      </c>
      <c r="R32" s="19">
        <v>0.5</v>
      </c>
      <c r="S32" s="19">
        <v>0.0</v>
      </c>
      <c r="T32" s="19">
        <v>3.0</v>
      </c>
      <c r="U32" s="19">
        <v>0.3</v>
      </c>
      <c r="V32" s="19">
        <v>0.2</v>
      </c>
      <c r="W32" s="19" t="s">
        <v>181</v>
      </c>
    </row>
    <row r="33">
      <c r="A33" s="19" t="s">
        <v>185</v>
      </c>
      <c r="B33" s="19" t="s">
        <v>97</v>
      </c>
      <c r="C33" s="19" t="s">
        <v>95</v>
      </c>
      <c r="D33" s="35">
        <v>21776.0</v>
      </c>
      <c r="E33" s="19" t="s">
        <v>230</v>
      </c>
      <c r="F33" s="37">
        <v>860000.0</v>
      </c>
      <c r="G33" s="37">
        <v>800000.0</v>
      </c>
      <c r="H33" s="19">
        <v>54.0</v>
      </c>
      <c r="I33" s="19">
        <v>36.0</v>
      </c>
      <c r="J33" s="19">
        <v>10.0</v>
      </c>
      <c r="K33" s="19">
        <v>0.0</v>
      </c>
      <c r="L33" s="19">
        <v>4.0</v>
      </c>
      <c r="M33" s="19" t="s">
        <v>124</v>
      </c>
      <c r="N33" s="19" t="s">
        <v>30</v>
      </c>
      <c r="O33" s="19" t="s">
        <v>231</v>
      </c>
      <c r="P33" s="19">
        <v>3.5</v>
      </c>
      <c r="Q33" s="19">
        <v>2.0</v>
      </c>
      <c r="R33" s="19">
        <v>1.0</v>
      </c>
      <c r="S33" s="19">
        <v>0.0</v>
      </c>
      <c r="T33" s="19">
        <v>17.0</v>
      </c>
      <c r="U33" s="19">
        <v>3.0</v>
      </c>
      <c r="V33" s="19">
        <v>1.0</v>
      </c>
      <c r="W33" s="19" t="s">
        <v>31</v>
      </c>
    </row>
    <row r="34">
      <c r="A34" s="19" t="s">
        <v>178</v>
      </c>
      <c r="B34" s="19" t="s">
        <v>98</v>
      </c>
      <c r="C34" s="19" t="s">
        <v>95</v>
      </c>
      <c r="D34" s="35">
        <v>18443.0</v>
      </c>
      <c r="E34" s="19" t="s">
        <v>232</v>
      </c>
      <c r="F34" s="37">
        <v>2400000.0</v>
      </c>
      <c r="G34" s="37">
        <v>1800000.0</v>
      </c>
      <c r="H34" s="19">
        <v>48.0</v>
      </c>
      <c r="I34" s="19">
        <v>42.0</v>
      </c>
      <c r="J34" s="19">
        <v>10.0</v>
      </c>
      <c r="K34" s="19">
        <v>0.0</v>
      </c>
      <c r="L34" s="19">
        <v>4.5</v>
      </c>
      <c r="M34" s="19" t="s">
        <v>124</v>
      </c>
      <c r="N34" s="19" t="s">
        <v>30</v>
      </c>
      <c r="O34" s="19" t="s">
        <v>233</v>
      </c>
      <c r="P34" s="19">
        <v>4.0</v>
      </c>
      <c r="Q34" s="19">
        <v>2.0</v>
      </c>
      <c r="R34" s="19">
        <v>1.0</v>
      </c>
      <c r="S34" s="19">
        <v>0.0</v>
      </c>
      <c r="T34" s="19">
        <v>20.0</v>
      </c>
      <c r="U34" s="19">
        <v>3.5</v>
      </c>
      <c r="V34" s="19">
        <v>1.0</v>
      </c>
      <c r="W34" s="19" t="s">
        <v>31</v>
      </c>
    </row>
    <row r="35">
      <c r="A35" s="19" t="s">
        <v>178</v>
      </c>
      <c r="B35" s="19" t="s">
        <v>99</v>
      </c>
      <c r="C35" s="19" t="s">
        <v>95</v>
      </c>
      <c r="D35" s="35">
        <v>17851.0</v>
      </c>
      <c r="E35" s="19" t="s">
        <v>234</v>
      </c>
      <c r="F35" s="37">
        <v>950000.0</v>
      </c>
      <c r="G35" s="37">
        <v>750000.0</v>
      </c>
      <c r="H35" s="19">
        <v>56.0</v>
      </c>
      <c r="I35" s="19">
        <v>34.0</v>
      </c>
      <c r="J35" s="19">
        <v>10.0</v>
      </c>
      <c r="K35" s="19">
        <v>0.0</v>
      </c>
      <c r="L35" s="19">
        <v>9.2</v>
      </c>
      <c r="M35" s="19" t="s">
        <v>124</v>
      </c>
      <c r="N35" s="19" t="s">
        <v>49</v>
      </c>
      <c r="O35" s="19" t="s">
        <v>235</v>
      </c>
      <c r="P35" s="19">
        <v>8.0</v>
      </c>
      <c r="Q35" s="19">
        <v>4.0</v>
      </c>
      <c r="R35" s="19">
        <v>2.0</v>
      </c>
      <c r="S35" s="19">
        <v>0.0</v>
      </c>
      <c r="T35" s="19">
        <v>45.0</v>
      </c>
      <c r="U35" s="19">
        <v>7.0</v>
      </c>
      <c r="V35" s="19">
        <v>2.2</v>
      </c>
      <c r="W35" s="19" t="s">
        <v>193</v>
      </c>
    </row>
    <row r="36">
      <c r="A36" s="19" t="s">
        <v>178</v>
      </c>
      <c r="B36" s="19" t="s">
        <v>100</v>
      </c>
      <c r="C36" s="19" t="s">
        <v>101</v>
      </c>
      <c r="D36" s="35">
        <v>26404.0</v>
      </c>
      <c r="E36" s="19" t="s">
        <v>236</v>
      </c>
      <c r="F36" s="37">
        <v>1.25E7</v>
      </c>
      <c r="G36" s="37">
        <v>8500000.0</v>
      </c>
      <c r="H36" s="19">
        <v>55.0</v>
      </c>
      <c r="I36" s="19">
        <v>20.0</v>
      </c>
      <c r="J36" s="19">
        <v>5.0</v>
      </c>
      <c r="K36" s="19">
        <v>20.0</v>
      </c>
      <c r="L36" s="19">
        <v>4.0</v>
      </c>
      <c r="M36" s="19" t="s">
        <v>134</v>
      </c>
      <c r="N36" s="19" t="s">
        <v>20</v>
      </c>
      <c r="O36" s="19" t="s">
        <v>237</v>
      </c>
      <c r="P36" s="19">
        <v>3.0</v>
      </c>
      <c r="Q36" s="19">
        <v>1.0</v>
      </c>
      <c r="R36" s="19">
        <v>1.0</v>
      </c>
      <c r="S36" s="19">
        <v>2.0</v>
      </c>
      <c r="T36" s="19">
        <v>5.0</v>
      </c>
      <c r="U36" s="19">
        <v>3.5</v>
      </c>
      <c r="V36" s="19">
        <v>0.5</v>
      </c>
      <c r="W36" s="19" t="s">
        <v>181</v>
      </c>
    </row>
    <row r="37">
      <c r="A37" s="19" t="s">
        <v>185</v>
      </c>
      <c r="B37" s="19" t="s">
        <v>102</v>
      </c>
      <c r="C37" s="19" t="s">
        <v>101</v>
      </c>
      <c r="D37" s="35">
        <v>26614.0</v>
      </c>
      <c r="E37" s="19" t="s">
        <v>265</v>
      </c>
      <c r="F37" s="37">
        <v>9400000.0</v>
      </c>
      <c r="G37" s="37">
        <v>8500000.0</v>
      </c>
      <c r="H37" s="19">
        <v>45.0</v>
      </c>
      <c r="I37" s="19">
        <v>25.0</v>
      </c>
      <c r="J37" s="19">
        <v>5.0</v>
      </c>
      <c r="K37" s="19">
        <v>25.0</v>
      </c>
      <c r="L37" s="19">
        <v>1.2</v>
      </c>
      <c r="M37" s="19" t="s">
        <v>134</v>
      </c>
      <c r="N37" s="19" t="s">
        <v>20</v>
      </c>
      <c r="O37" s="19" t="s">
        <v>239</v>
      </c>
      <c r="P37" s="19">
        <v>0.0</v>
      </c>
      <c r="Q37" s="19">
        <v>0.0</v>
      </c>
      <c r="R37" s="19">
        <v>0.0</v>
      </c>
      <c r="S37" s="19">
        <v>0.0</v>
      </c>
      <c r="T37" s="19">
        <v>0.0</v>
      </c>
      <c r="U37" s="19">
        <v>1.0</v>
      </c>
      <c r="V37" s="19">
        <v>0.2</v>
      </c>
      <c r="W37" s="19" t="s">
        <v>181</v>
      </c>
    </row>
    <row r="38">
      <c r="A38" s="19" t="s">
        <v>198</v>
      </c>
      <c r="B38" s="19" t="s">
        <v>103</v>
      </c>
      <c r="C38" s="19" t="s">
        <v>101</v>
      </c>
      <c r="D38" s="35">
        <v>26184.0</v>
      </c>
      <c r="E38" s="19" t="s">
        <v>266</v>
      </c>
      <c r="F38" s="37">
        <v>2150000.0</v>
      </c>
      <c r="G38" s="37">
        <v>800000.0</v>
      </c>
      <c r="H38" s="19">
        <v>50.0</v>
      </c>
      <c r="I38" s="19">
        <v>15.0</v>
      </c>
      <c r="J38" s="19">
        <v>5.0</v>
      </c>
      <c r="K38" s="19">
        <v>30.0</v>
      </c>
      <c r="L38" s="19">
        <v>5.0</v>
      </c>
      <c r="M38" s="19" t="s">
        <v>134</v>
      </c>
      <c r="N38" s="19" t="s">
        <v>30</v>
      </c>
      <c r="O38" s="19" t="s">
        <v>241</v>
      </c>
      <c r="P38" s="19">
        <v>4.0</v>
      </c>
      <c r="Q38" s="19">
        <v>2.0</v>
      </c>
      <c r="R38" s="19">
        <v>1.0</v>
      </c>
      <c r="S38" s="19">
        <v>6.0</v>
      </c>
      <c r="T38" s="19">
        <v>10.0</v>
      </c>
      <c r="U38" s="19">
        <v>4.0</v>
      </c>
      <c r="V38" s="19">
        <v>1.0</v>
      </c>
      <c r="W38" s="19" t="s">
        <v>131</v>
      </c>
    </row>
    <row r="39">
      <c r="A39" s="19" t="s">
        <v>178</v>
      </c>
      <c r="B39" s="19" t="s">
        <v>104</v>
      </c>
      <c r="C39" s="19" t="s">
        <v>101</v>
      </c>
      <c r="D39" s="35">
        <v>25083.0</v>
      </c>
      <c r="E39" s="19" t="s">
        <v>242</v>
      </c>
      <c r="F39" s="37">
        <v>1.875E7</v>
      </c>
      <c r="G39" s="37">
        <v>1.2E7</v>
      </c>
      <c r="H39" s="19">
        <v>62.0</v>
      </c>
      <c r="I39" s="19">
        <v>15.0</v>
      </c>
      <c r="J39" s="19">
        <v>3.0</v>
      </c>
      <c r="K39" s="19">
        <v>20.0</v>
      </c>
      <c r="L39" s="19">
        <v>6.5</v>
      </c>
      <c r="M39" s="19" t="s">
        <v>134</v>
      </c>
      <c r="N39" s="19" t="s">
        <v>30</v>
      </c>
      <c r="O39" s="19" t="s">
        <v>243</v>
      </c>
      <c r="P39" s="19">
        <v>6.0</v>
      </c>
      <c r="Q39" s="19">
        <v>3.0</v>
      </c>
      <c r="R39" s="19">
        <v>2.0</v>
      </c>
      <c r="S39" s="19">
        <v>7.0</v>
      </c>
      <c r="T39" s="19">
        <v>12.0</v>
      </c>
      <c r="U39" s="19">
        <v>5.0</v>
      </c>
      <c r="V39" s="19">
        <v>1.5</v>
      </c>
      <c r="W39" s="19" t="s">
        <v>190</v>
      </c>
    </row>
    <row r="40">
      <c r="A40" s="19" t="s">
        <v>178</v>
      </c>
      <c r="B40" s="19" t="s">
        <v>105</v>
      </c>
      <c r="C40" s="19" t="s">
        <v>101</v>
      </c>
      <c r="D40" s="35">
        <v>27421.0</v>
      </c>
      <c r="E40" s="19" t="s">
        <v>244</v>
      </c>
      <c r="F40" s="37">
        <v>9500000.0</v>
      </c>
      <c r="G40" s="37">
        <v>6500000.0</v>
      </c>
      <c r="H40" s="19">
        <v>70.0</v>
      </c>
      <c r="I40" s="19">
        <v>10.0</v>
      </c>
      <c r="J40" s="19">
        <v>5.0</v>
      </c>
      <c r="K40" s="19">
        <v>15.0</v>
      </c>
      <c r="L40" s="19">
        <v>12.8</v>
      </c>
      <c r="M40" s="19" t="s">
        <v>134</v>
      </c>
      <c r="N40" s="19" t="s">
        <v>49</v>
      </c>
      <c r="O40" s="19" t="s">
        <v>245</v>
      </c>
      <c r="P40" s="19">
        <v>11.0</v>
      </c>
      <c r="Q40" s="19">
        <v>5.0</v>
      </c>
      <c r="R40" s="19">
        <v>3.0</v>
      </c>
      <c r="S40" s="19">
        <v>8.0</v>
      </c>
      <c r="T40" s="19">
        <v>35.0</v>
      </c>
      <c r="U40" s="19">
        <v>8.0</v>
      </c>
      <c r="V40" s="19">
        <v>4.8</v>
      </c>
      <c r="W40" s="19" t="s">
        <v>215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52.38"/>
  </cols>
  <sheetData>
    <row r="1">
      <c r="A1" s="38" t="s">
        <v>61</v>
      </c>
      <c r="B1" s="38" t="s">
        <v>114</v>
      </c>
      <c r="C1" s="38" t="s">
        <v>115</v>
      </c>
      <c r="D1" s="39" t="s">
        <v>116</v>
      </c>
    </row>
    <row r="2">
      <c r="A2" s="38" t="s">
        <v>71</v>
      </c>
      <c r="B2" s="40">
        <v>4.0</v>
      </c>
      <c r="C2" s="40">
        <v>8.0</v>
      </c>
      <c r="D2" s="41" t="s">
        <v>124</v>
      </c>
    </row>
    <row r="3">
      <c r="A3" s="38" t="s">
        <v>77</v>
      </c>
      <c r="B3" s="40">
        <v>6.0</v>
      </c>
      <c r="C3" s="40">
        <v>12.0</v>
      </c>
      <c r="D3" s="41" t="s">
        <v>134</v>
      </c>
    </row>
    <row r="4">
      <c r="A4" s="38" t="s">
        <v>83</v>
      </c>
      <c r="B4" s="40">
        <v>8.0</v>
      </c>
      <c r="C4" s="40">
        <v>15.0</v>
      </c>
      <c r="D4" s="41" t="s">
        <v>143</v>
      </c>
    </row>
    <row r="5">
      <c r="A5" s="38" t="s">
        <v>89</v>
      </c>
      <c r="B5" s="40">
        <v>5.0</v>
      </c>
      <c r="C5" s="40">
        <v>10.0</v>
      </c>
      <c r="D5" s="41" t="s">
        <v>124</v>
      </c>
    </row>
    <row r="6">
      <c r="A6" s="38" t="s">
        <v>95</v>
      </c>
      <c r="B6" s="40">
        <v>5.0</v>
      </c>
      <c r="C6" s="40">
        <v>10.0</v>
      </c>
      <c r="D6" s="41" t="s">
        <v>124</v>
      </c>
    </row>
    <row r="7">
      <c r="A7" s="38" t="s">
        <v>152</v>
      </c>
      <c r="B7" s="40">
        <v>7.0</v>
      </c>
      <c r="C7" s="40">
        <v>12.0</v>
      </c>
      <c r="D7" s="41" t="s">
        <v>134</v>
      </c>
    </row>
    <row r="9">
      <c r="A9" s="22" t="s">
        <v>155</v>
      </c>
      <c r="B9" s="22" t="s">
        <v>60</v>
      </c>
      <c r="C9" s="22" t="s">
        <v>61</v>
      </c>
      <c r="D9" s="22" t="s">
        <v>156</v>
      </c>
      <c r="E9" s="22" t="s">
        <v>251</v>
      </c>
      <c r="F9" s="22" t="s">
        <v>158</v>
      </c>
      <c r="G9" s="22" t="s">
        <v>159</v>
      </c>
      <c r="H9" s="22" t="s">
        <v>252</v>
      </c>
      <c r="I9" s="22" t="s">
        <v>253</v>
      </c>
      <c r="J9" s="22" t="s">
        <v>254</v>
      </c>
      <c r="K9" s="22" t="s">
        <v>255</v>
      </c>
      <c r="L9" s="22" t="s">
        <v>62</v>
      </c>
      <c r="M9" s="22" t="s">
        <v>161</v>
      </c>
      <c r="N9" s="22" t="s">
        <v>9</v>
      </c>
      <c r="O9" s="22" t="s">
        <v>160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19" t="s">
        <v>178</v>
      </c>
      <c r="B10" s="19" t="s">
        <v>70</v>
      </c>
      <c r="C10" s="19" t="s">
        <v>71</v>
      </c>
      <c r="D10" s="35">
        <v>21287.0</v>
      </c>
      <c r="E10" s="19" t="s">
        <v>179</v>
      </c>
      <c r="F10" s="19">
        <v>850000.0</v>
      </c>
      <c r="G10" s="19">
        <v>650000.0</v>
      </c>
      <c r="H10" s="19">
        <v>18.0</v>
      </c>
      <c r="I10" s="19">
        <v>62.0</v>
      </c>
      <c r="J10" s="19">
        <v>20.0</v>
      </c>
      <c r="K10" s="19">
        <v>0.0</v>
      </c>
      <c r="L10" s="19">
        <v>2.5</v>
      </c>
      <c r="M10" s="19" t="s">
        <v>124</v>
      </c>
      <c r="N10" s="19" t="s">
        <v>20</v>
      </c>
      <c r="O10" s="19" t="s">
        <v>180</v>
      </c>
    </row>
    <row r="11">
      <c r="A11" s="19" t="s">
        <v>182</v>
      </c>
      <c r="B11" s="19" t="s">
        <v>72</v>
      </c>
      <c r="C11" s="19" t="s">
        <v>71</v>
      </c>
      <c r="D11" s="35">
        <v>22919.0</v>
      </c>
      <c r="E11" s="19" t="s">
        <v>183</v>
      </c>
      <c r="F11" s="19">
        <v>172400.0</v>
      </c>
      <c r="G11" s="19">
        <v>180000.0</v>
      </c>
      <c r="H11" s="19">
        <v>20.0</v>
      </c>
      <c r="I11" s="19">
        <v>60.0</v>
      </c>
      <c r="J11" s="19">
        <v>20.0</v>
      </c>
      <c r="K11" s="19">
        <v>0.0</v>
      </c>
      <c r="L11" s="19">
        <v>2.17</v>
      </c>
      <c r="M11" s="19" t="s">
        <v>124</v>
      </c>
      <c r="N11" s="19" t="s">
        <v>20</v>
      </c>
      <c r="O11" s="19" t="s">
        <v>184</v>
      </c>
    </row>
    <row r="12">
      <c r="A12" s="19" t="s">
        <v>185</v>
      </c>
      <c r="B12" s="19" t="s">
        <v>73</v>
      </c>
      <c r="C12" s="19" t="s">
        <v>71</v>
      </c>
      <c r="D12" s="35">
        <v>23337.0</v>
      </c>
      <c r="E12" s="19" t="s">
        <v>186</v>
      </c>
      <c r="F12" s="19">
        <v>1250000.0</v>
      </c>
      <c r="G12" s="19">
        <v>1200000.0</v>
      </c>
      <c r="H12" s="19">
        <v>22.5</v>
      </c>
      <c r="I12" s="19">
        <v>70.0</v>
      </c>
      <c r="J12" s="19">
        <v>7.5</v>
      </c>
      <c r="K12" s="19">
        <v>0.0</v>
      </c>
      <c r="L12" s="19">
        <v>3.5</v>
      </c>
      <c r="M12" s="19" t="s">
        <v>124</v>
      </c>
      <c r="N12" s="19" t="s">
        <v>30</v>
      </c>
      <c r="O12" s="19" t="s">
        <v>187</v>
      </c>
    </row>
    <row r="13">
      <c r="A13" s="19" t="s">
        <v>178</v>
      </c>
      <c r="B13" s="19" t="s">
        <v>74</v>
      </c>
      <c r="C13" s="19" t="s">
        <v>71</v>
      </c>
      <c r="D13" s="35">
        <v>22512.0</v>
      </c>
      <c r="E13" s="19" t="s">
        <v>188</v>
      </c>
      <c r="F13" s="19">
        <v>1200000.0</v>
      </c>
      <c r="G13" s="19">
        <v>900000.0</v>
      </c>
      <c r="H13" s="19">
        <v>22.0</v>
      </c>
      <c r="I13" s="19">
        <v>58.0</v>
      </c>
      <c r="J13" s="19">
        <v>20.0</v>
      </c>
      <c r="K13" s="19">
        <v>0.0</v>
      </c>
      <c r="L13" s="19">
        <v>4.0</v>
      </c>
      <c r="M13" s="19" t="s">
        <v>124</v>
      </c>
      <c r="N13" s="19" t="s">
        <v>30</v>
      </c>
      <c r="O13" s="19" t="s">
        <v>189</v>
      </c>
    </row>
    <row r="14">
      <c r="A14" s="19" t="s">
        <v>185</v>
      </c>
      <c r="B14" s="19" t="s">
        <v>75</v>
      </c>
      <c r="C14" s="19" t="s">
        <v>71</v>
      </c>
      <c r="D14" s="35">
        <v>26150.0</v>
      </c>
      <c r="E14" s="19" t="s">
        <v>260</v>
      </c>
      <c r="F14" s="19">
        <v>310000.0</v>
      </c>
      <c r="G14" s="19">
        <v>300000.0</v>
      </c>
      <c r="H14" s="19">
        <v>26.5</v>
      </c>
      <c r="I14" s="19">
        <v>65.0</v>
      </c>
      <c r="J14" s="19">
        <v>8.5</v>
      </c>
      <c r="K14" s="19">
        <v>0.0</v>
      </c>
      <c r="L14" s="19">
        <v>7.5</v>
      </c>
      <c r="M14" s="19" t="s">
        <v>124</v>
      </c>
      <c r="N14" s="19" t="s">
        <v>49</v>
      </c>
      <c r="O14" s="19" t="s">
        <v>192</v>
      </c>
    </row>
    <row r="15">
      <c r="A15" s="19" t="s">
        <v>178</v>
      </c>
      <c r="B15" s="19" t="s">
        <v>76</v>
      </c>
      <c r="C15" s="19" t="s">
        <v>77</v>
      </c>
      <c r="D15" s="35">
        <v>29298.0</v>
      </c>
      <c r="E15" s="19" t="s">
        <v>194</v>
      </c>
      <c r="F15" s="19">
        <v>950000.0</v>
      </c>
      <c r="G15" s="19">
        <v>650000.0</v>
      </c>
      <c r="H15" s="19">
        <v>55.0</v>
      </c>
      <c r="I15" s="19">
        <v>35.0</v>
      </c>
      <c r="J15" s="19">
        <v>10.0</v>
      </c>
      <c r="K15" s="19">
        <v>0.0</v>
      </c>
      <c r="L15" s="19">
        <v>3.2</v>
      </c>
      <c r="M15" s="19" t="s">
        <v>134</v>
      </c>
      <c r="N15" s="19" t="s">
        <v>20</v>
      </c>
      <c r="O15" s="19" t="s">
        <v>195</v>
      </c>
    </row>
    <row r="16">
      <c r="A16" s="19" t="s">
        <v>182</v>
      </c>
      <c r="B16" s="19" t="s">
        <v>78</v>
      </c>
      <c r="C16" s="19" t="s">
        <v>77</v>
      </c>
      <c r="D16" s="35">
        <v>30007.0</v>
      </c>
      <c r="E16" s="19" t="s">
        <v>196</v>
      </c>
      <c r="F16" s="19">
        <v>190300.0</v>
      </c>
      <c r="G16" s="19">
        <v>175000.0</v>
      </c>
      <c r="H16" s="19">
        <v>58.0</v>
      </c>
      <c r="I16" s="19">
        <v>32.0</v>
      </c>
      <c r="J16" s="19">
        <v>10.0</v>
      </c>
      <c r="K16" s="19">
        <v>0.0</v>
      </c>
      <c r="L16" s="19">
        <v>3.45</v>
      </c>
      <c r="M16" s="19" t="s">
        <v>134</v>
      </c>
      <c r="N16" s="19" t="s">
        <v>20</v>
      </c>
      <c r="O16" s="19" t="s">
        <v>197</v>
      </c>
    </row>
    <row r="17">
      <c r="A17" s="19" t="s">
        <v>198</v>
      </c>
      <c r="B17" s="19" t="s">
        <v>79</v>
      </c>
      <c r="C17" s="19" t="s">
        <v>77</v>
      </c>
      <c r="D17" s="35">
        <v>30141.0</v>
      </c>
      <c r="E17" s="19" t="s">
        <v>261</v>
      </c>
      <c r="F17" s="19">
        <v>78000.0</v>
      </c>
      <c r="G17" s="19">
        <v>30000.0</v>
      </c>
      <c r="H17" s="19">
        <v>55.0</v>
      </c>
      <c r="I17" s="19">
        <v>25.0</v>
      </c>
      <c r="J17" s="19">
        <v>10.0</v>
      </c>
      <c r="K17" s="19">
        <v>10.0</v>
      </c>
      <c r="L17" s="19">
        <v>4.0</v>
      </c>
      <c r="M17" s="19" t="s">
        <v>134</v>
      </c>
      <c r="N17" s="19" t="s">
        <v>30</v>
      </c>
      <c r="O17" s="19" t="s">
        <v>200</v>
      </c>
    </row>
    <row r="18">
      <c r="A18" s="19" t="s">
        <v>185</v>
      </c>
      <c r="B18" s="19" t="s">
        <v>80</v>
      </c>
      <c r="C18" s="19" t="s">
        <v>77</v>
      </c>
      <c r="D18" s="35">
        <v>31342.0</v>
      </c>
      <c r="E18" s="19" t="s">
        <v>201</v>
      </c>
      <c r="F18" s="19">
        <v>290000.0</v>
      </c>
      <c r="G18" s="19">
        <v>250000.0</v>
      </c>
      <c r="H18" s="19">
        <v>61.0</v>
      </c>
      <c r="I18" s="19">
        <v>34.0</v>
      </c>
      <c r="J18" s="19">
        <v>5.0</v>
      </c>
      <c r="K18" s="19">
        <v>0.0</v>
      </c>
      <c r="L18" s="19">
        <v>6.0</v>
      </c>
      <c r="M18" s="19" t="s">
        <v>134</v>
      </c>
      <c r="N18" s="19" t="s">
        <v>30</v>
      </c>
      <c r="O18" s="19" t="s">
        <v>202</v>
      </c>
    </row>
    <row r="19">
      <c r="A19" s="19" t="s">
        <v>185</v>
      </c>
      <c r="B19" s="19" t="s">
        <v>81</v>
      </c>
      <c r="C19" s="19" t="s">
        <v>77</v>
      </c>
      <c r="D19" s="35">
        <v>27097.0</v>
      </c>
      <c r="E19" s="19" t="s">
        <v>262</v>
      </c>
      <c r="F19" s="19">
        <v>1250000.0</v>
      </c>
      <c r="G19" s="19">
        <v>1100000.0</v>
      </c>
      <c r="H19" s="19">
        <v>66.5</v>
      </c>
      <c r="I19" s="19">
        <v>30.0</v>
      </c>
      <c r="J19" s="19">
        <v>3.5</v>
      </c>
      <c r="K19" s="19">
        <v>0.0</v>
      </c>
      <c r="L19" s="19">
        <v>11.5</v>
      </c>
      <c r="M19" s="19" t="s">
        <v>134</v>
      </c>
      <c r="N19" s="19" t="s">
        <v>49</v>
      </c>
      <c r="O19" s="19" t="s">
        <v>204</v>
      </c>
    </row>
    <row r="20">
      <c r="A20" s="19" t="s">
        <v>178</v>
      </c>
      <c r="B20" s="19" t="s">
        <v>82</v>
      </c>
      <c r="C20" s="19" t="s">
        <v>83</v>
      </c>
      <c r="D20" s="35">
        <v>34978.0</v>
      </c>
      <c r="E20" s="19" t="s">
        <v>205</v>
      </c>
      <c r="F20" s="19">
        <v>325000.0</v>
      </c>
      <c r="G20" s="19">
        <v>200000.0</v>
      </c>
      <c r="H20" s="19">
        <v>80.0</v>
      </c>
      <c r="I20" s="19">
        <v>10.0</v>
      </c>
      <c r="J20" s="19">
        <v>5.0</v>
      </c>
      <c r="K20" s="19">
        <v>5.0</v>
      </c>
      <c r="L20" s="19">
        <v>5.0</v>
      </c>
      <c r="M20" s="19" t="s">
        <v>143</v>
      </c>
      <c r="N20" s="19" t="s">
        <v>20</v>
      </c>
      <c r="O20" s="19" t="s">
        <v>206</v>
      </c>
    </row>
    <row r="21">
      <c r="A21" s="19" t="s">
        <v>198</v>
      </c>
      <c r="B21" s="19" t="s">
        <v>84</v>
      </c>
      <c r="C21" s="19" t="s">
        <v>83</v>
      </c>
      <c r="D21" s="35">
        <v>34925.0</v>
      </c>
      <c r="E21" s="19" t="s">
        <v>263</v>
      </c>
      <c r="F21" s="19">
        <v>38000.0</v>
      </c>
      <c r="G21" s="19">
        <v>15000.0</v>
      </c>
      <c r="H21" s="19">
        <v>80.0</v>
      </c>
      <c r="I21" s="19">
        <v>0.0</v>
      </c>
      <c r="J21" s="19">
        <v>5.0</v>
      </c>
      <c r="K21" s="19">
        <v>5.0</v>
      </c>
      <c r="L21" s="19">
        <v>4.0</v>
      </c>
      <c r="M21" s="19" t="s">
        <v>143</v>
      </c>
      <c r="N21" s="19" t="s">
        <v>20</v>
      </c>
      <c r="O21" s="19" t="s">
        <v>208</v>
      </c>
    </row>
    <row r="22">
      <c r="A22" s="19" t="s">
        <v>185</v>
      </c>
      <c r="B22" s="19" t="s">
        <v>85</v>
      </c>
      <c r="C22" s="19" t="s">
        <v>83</v>
      </c>
      <c r="D22" s="35">
        <v>32214.0</v>
      </c>
      <c r="E22" s="19" t="s">
        <v>209</v>
      </c>
      <c r="F22" s="19">
        <v>530000.0</v>
      </c>
      <c r="G22" s="19">
        <v>450000.0</v>
      </c>
      <c r="H22" s="19">
        <v>87.5</v>
      </c>
      <c r="I22" s="19">
        <v>10.0</v>
      </c>
      <c r="J22" s="19">
        <v>2.5</v>
      </c>
      <c r="K22" s="19">
        <v>0.0</v>
      </c>
      <c r="L22" s="19">
        <v>7.5</v>
      </c>
      <c r="M22" s="19" t="s">
        <v>143</v>
      </c>
      <c r="N22" s="19" t="s">
        <v>30</v>
      </c>
      <c r="O22" s="19" t="s">
        <v>210</v>
      </c>
    </row>
    <row r="23">
      <c r="A23" s="19" t="s">
        <v>178</v>
      </c>
      <c r="B23" s="19" t="s">
        <v>86</v>
      </c>
      <c r="C23" s="19" t="s">
        <v>83</v>
      </c>
      <c r="D23" s="35">
        <v>34087.0</v>
      </c>
      <c r="E23" s="19" t="s">
        <v>211</v>
      </c>
      <c r="F23" s="19">
        <v>875000.0</v>
      </c>
      <c r="G23" s="19">
        <v>500000.0</v>
      </c>
      <c r="H23" s="19">
        <v>88.0</v>
      </c>
      <c r="I23" s="19">
        <v>7.0</v>
      </c>
      <c r="J23" s="19">
        <v>5.0</v>
      </c>
      <c r="K23" s="19">
        <v>0.0</v>
      </c>
      <c r="L23" s="19">
        <v>8.0</v>
      </c>
      <c r="M23" s="19" t="s">
        <v>143</v>
      </c>
      <c r="N23" s="19" t="s">
        <v>30</v>
      </c>
      <c r="O23" s="19" t="s">
        <v>212</v>
      </c>
    </row>
    <row r="24">
      <c r="A24" s="19" t="s">
        <v>185</v>
      </c>
      <c r="B24" s="19" t="s">
        <v>87</v>
      </c>
      <c r="C24" s="19" t="s">
        <v>83</v>
      </c>
      <c r="D24" s="35">
        <v>28056.0</v>
      </c>
      <c r="E24" s="19" t="s">
        <v>264</v>
      </c>
      <c r="F24" s="19">
        <v>2600000.0</v>
      </c>
      <c r="G24" s="19">
        <v>2100000.0</v>
      </c>
      <c r="H24" s="19">
        <v>93.0</v>
      </c>
      <c r="I24" s="19">
        <v>5.0</v>
      </c>
      <c r="J24" s="19">
        <v>2.0</v>
      </c>
      <c r="K24" s="19">
        <v>0.0</v>
      </c>
      <c r="L24" s="19">
        <v>16.0</v>
      </c>
      <c r="M24" s="19" t="s">
        <v>143</v>
      </c>
      <c r="N24" s="19" t="s">
        <v>49</v>
      </c>
      <c r="O24" s="19" t="s">
        <v>214</v>
      </c>
    </row>
    <row r="25">
      <c r="A25" s="19" t="s">
        <v>178</v>
      </c>
      <c r="B25" s="19" t="s">
        <v>88</v>
      </c>
      <c r="C25" s="19" t="s">
        <v>89</v>
      </c>
      <c r="D25" s="35">
        <v>22040.0</v>
      </c>
      <c r="E25" s="19" t="s">
        <v>216</v>
      </c>
      <c r="F25" s="19">
        <v>1100000.0</v>
      </c>
      <c r="G25" s="19">
        <v>850000.0</v>
      </c>
      <c r="H25" s="19">
        <v>30.0</v>
      </c>
      <c r="I25" s="19">
        <v>55.0</v>
      </c>
      <c r="J25" s="19">
        <v>15.0</v>
      </c>
      <c r="K25" s="19">
        <v>0.0</v>
      </c>
      <c r="L25" s="19">
        <v>3.5</v>
      </c>
      <c r="M25" s="19" t="s">
        <v>124</v>
      </c>
      <c r="N25" s="19" t="s">
        <v>20</v>
      </c>
      <c r="O25" s="19" t="s">
        <v>217</v>
      </c>
    </row>
    <row r="26">
      <c r="A26" s="19" t="s">
        <v>182</v>
      </c>
      <c r="B26" s="19" t="s">
        <v>90</v>
      </c>
      <c r="C26" s="19" t="s">
        <v>89</v>
      </c>
      <c r="D26" s="35">
        <v>24020.0</v>
      </c>
      <c r="E26" s="19" t="s">
        <v>218</v>
      </c>
      <c r="F26" s="19">
        <v>315400.0</v>
      </c>
      <c r="G26" s="19">
        <v>300000.0</v>
      </c>
      <c r="H26" s="19">
        <v>30.0</v>
      </c>
      <c r="I26" s="19">
        <v>55.0</v>
      </c>
      <c r="J26" s="19">
        <v>15.0</v>
      </c>
      <c r="K26" s="19">
        <v>0.0</v>
      </c>
      <c r="L26" s="19">
        <v>2.89</v>
      </c>
      <c r="M26" s="19" t="s">
        <v>124</v>
      </c>
      <c r="N26" s="19" t="s">
        <v>20</v>
      </c>
      <c r="O26" s="19" t="s">
        <v>219</v>
      </c>
    </row>
    <row r="27">
      <c r="A27" s="19" t="s">
        <v>185</v>
      </c>
      <c r="B27" s="19" t="s">
        <v>91</v>
      </c>
      <c r="C27" s="19" t="s">
        <v>89</v>
      </c>
      <c r="D27" s="35">
        <v>27669.0</v>
      </c>
      <c r="E27" s="19" t="s">
        <v>220</v>
      </c>
      <c r="F27" s="19">
        <v>1020000.0</v>
      </c>
      <c r="G27" s="19">
        <v>950000.0</v>
      </c>
      <c r="H27" s="19">
        <v>39.5</v>
      </c>
      <c r="I27" s="19">
        <v>55.0</v>
      </c>
      <c r="J27" s="19">
        <v>5.5</v>
      </c>
      <c r="K27" s="19">
        <v>0.0</v>
      </c>
      <c r="L27" s="19">
        <v>4.5</v>
      </c>
      <c r="M27" s="19" t="s">
        <v>124</v>
      </c>
      <c r="N27" s="19" t="s">
        <v>30</v>
      </c>
      <c r="O27" s="19" t="s">
        <v>221</v>
      </c>
    </row>
    <row r="28">
      <c r="A28" s="19" t="s">
        <v>178</v>
      </c>
      <c r="B28" s="19" t="s">
        <v>92</v>
      </c>
      <c r="C28" s="19" t="s">
        <v>89</v>
      </c>
      <c r="D28" s="35">
        <v>21078.0</v>
      </c>
      <c r="E28" s="19" t="s">
        <v>222</v>
      </c>
      <c r="F28" s="19">
        <v>1650000.0</v>
      </c>
      <c r="G28" s="19">
        <v>1250000.0</v>
      </c>
      <c r="H28" s="19">
        <v>36.0</v>
      </c>
      <c r="I28" s="19">
        <v>49.0</v>
      </c>
      <c r="J28" s="19">
        <v>15.0</v>
      </c>
      <c r="K28" s="19">
        <v>0.0</v>
      </c>
      <c r="L28" s="19">
        <v>5.0</v>
      </c>
      <c r="M28" s="19" t="s">
        <v>124</v>
      </c>
      <c r="N28" s="19" t="s">
        <v>30</v>
      </c>
      <c r="O28" s="19" t="s">
        <v>223</v>
      </c>
    </row>
    <row r="29">
      <c r="A29" s="19" t="s">
        <v>178</v>
      </c>
      <c r="B29" s="19" t="s">
        <v>93</v>
      </c>
      <c r="C29" s="19" t="s">
        <v>89</v>
      </c>
      <c r="D29" s="35">
        <v>22654.0</v>
      </c>
      <c r="E29" s="19" t="s">
        <v>224</v>
      </c>
      <c r="F29" s="19">
        <v>780000.0</v>
      </c>
      <c r="G29" s="19">
        <v>600000.0</v>
      </c>
      <c r="H29" s="19">
        <v>42.0</v>
      </c>
      <c r="I29" s="19">
        <v>43.0</v>
      </c>
      <c r="J29" s="19">
        <v>15.0</v>
      </c>
      <c r="K29" s="19">
        <v>0.0</v>
      </c>
      <c r="L29" s="19">
        <v>9.5</v>
      </c>
      <c r="M29" s="19" t="s">
        <v>124</v>
      </c>
      <c r="N29" s="19" t="s">
        <v>49</v>
      </c>
      <c r="O29" s="19" t="s">
        <v>225</v>
      </c>
    </row>
    <row r="30">
      <c r="A30" s="19" t="s">
        <v>178</v>
      </c>
      <c r="B30" s="19" t="s">
        <v>94</v>
      </c>
      <c r="C30" s="19" t="s">
        <v>95</v>
      </c>
      <c r="D30" s="35">
        <v>19065.0</v>
      </c>
      <c r="E30" s="19" t="s">
        <v>226</v>
      </c>
      <c r="F30" s="19">
        <v>1800000.0</v>
      </c>
      <c r="G30" s="19">
        <v>1300000.0</v>
      </c>
      <c r="H30" s="19">
        <v>40.0</v>
      </c>
      <c r="I30" s="19">
        <v>50.0</v>
      </c>
      <c r="J30" s="19">
        <v>10.0</v>
      </c>
      <c r="K30" s="19">
        <v>0.0</v>
      </c>
      <c r="L30" s="19">
        <v>2.0</v>
      </c>
      <c r="M30" s="19" t="s">
        <v>124</v>
      </c>
      <c r="N30" s="19" t="s">
        <v>20</v>
      </c>
      <c r="O30" s="19" t="s">
        <v>227</v>
      </c>
    </row>
    <row r="31">
      <c r="A31" s="19" t="s">
        <v>182</v>
      </c>
      <c r="B31" s="19" t="s">
        <v>96</v>
      </c>
      <c r="C31" s="19" t="s">
        <v>95</v>
      </c>
      <c r="D31" s="35">
        <v>20051.0</v>
      </c>
      <c r="E31" s="19" t="s">
        <v>228</v>
      </c>
      <c r="F31" s="19">
        <v>470200.0</v>
      </c>
      <c r="G31" s="19">
        <v>450000.0</v>
      </c>
      <c r="H31" s="19">
        <v>30.0</v>
      </c>
      <c r="I31" s="19">
        <v>60.0</v>
      </c>
      <c r="J31" s="19">
        <v>10.0</v>
      </c>
      <c r="K31" s="19">
        <v>0.0</v>
      </c>
      <c r="L31" s="19">
        <v>0.48</v>
      </c>
      <c r="M31" s="19" t="s">
        <v>124</v>
      </c>
      <c r="N31" s="19" t="s">
        <v>20</v>
      </c>
      <c r="O31" s="19" t="s">
        <v>229</v>
      </c>
    </row>
    <row r="32">
      <c r="A32" s="19" t="s">
        <v>185</v>
      </c>
      <c r="B32" s="19" t="s">
        <v>97</v>
      </c>
      <c r="C32" s="19" t="s">
        <v>95</v>
      </c>
      <c r="D32" s="35">
        <v>21776.0</v>
      </c>
      <c r="E32" s="19" t="s">
        <v>230</v>
      </c>
      <c r="F32" s="19">
        <v>860000.0</v>
      </c>
      <c r="G32" s="19">
        <v>800000.0</v>
      </c>
      <c r="H32" s="19">
        <v>54.0</v>
      </c>
      <c r="I32" s="19">
        <v>36.0</v>
      </c>
      <c r="J32" s="19">
        <v>10.0</v>
      </c>
      <c r="K32" s="19">
        <v>0.0</v>
      </c>
      <c r="L32" s="19">
        <v>4.0</v>
      </c>
      <c r="M32" s="19" t="s">
        <v>124</v>
      </c>
      <c r="N32" s="19" t="s">
        <v>30</v>
      </c>
      <c r="O32" s="19" t="s">
        <v>231</v>
      </c>
    </row>
    <row r="33">
      <c r="A33" s="19" t="s">
        <v>178</v>
      </c>
      <c r="B33" s="19" t="s">
        <v>98</v>
      </c>
      <c r="C33" s="19" t="s">
        <v>95</v>
      </c>
      <c r="D33" s="35">
        <v>18443.0</v>
      </c>
      <c r="E33" s="19" t="s">
        <v>232</v>
      </c>
      <c r="F33" s="19">
        <v>2400000.0</v>
      </c>
      <c r="G33" s="19">
        <v>1800000.0</v>
      </c>
      <c r="H33" s="19">
        <v>48.0</v>
      </c>
      <c r="I33" s="19">
        <v>42.0</v>
      </c>
      <c r="J33" s="19">
        <v>10.0</v>
      </c>
      <c r="K33" s="19">
        <v>0.0</v>
      </c>
      <c r="L33" s="19">
        <v>4.5</v>
      </c>
      <c r="M33" s="19" t="s">
        <v>124</v>
      </c>
      <c r="N33" s="19" t="s">
        <v>30</v>
      </c>
      <c r="O33" s="19" t="s">
        <v>233</v>
      </c>
    </row>
    <row r="34">
      <c r="A34" s="19" t="s">
        <v>178</v>
      </c>
      <c r="B34" s="19" t="s">
        <v>99</v>
      </c>
      <c r="C34" s="19" t="s">
        <v>95</v>
      </c>
      <c r="D34" s="35">
        <v>17851.0</v>
      </c>
      <c r="E34" s="19" t="s">
        <v>234</v>
      </c>
      <c r="F34" s="19">
        <v>950000.0</v>
      </c>
      <c r="G34" s="19">
        <v>750000.0</v>
      </c>
      <c r="H34" s="19">
        <v>56.0</v>
      </c>
      <c r="I34" s="19">
        <v>34.0</v>
      </c>
      <c r="J34" s="19">
        <v>10.0</v>
      </c>
      <c r="K34" s="19">
        <v>0.0</v>
      </c>
      <c r="L34" s="19">
        <v>9.2</v>
      </c>
      <c r="M34" s="19" t="s">
        <v>124</v>
      </c>
      <c r="N34" s="19" t="s">
        <v>49</v>
      </c>
      <c r="O34" s="19" t="s">
        <v>235</v>
      </c>
    </row>
    <row r="35">
      <c r="A35" s="19" t="s">
        <v>178</v>
      </c>
      <c r="B35" s="19" t="s">
        <v>100</v>
      </c>
      <c r="C35" s="19" t="s">
        <v>101</v>
      </c>
      <c r="D35" s="35">
        <v>26404.0</v>
      </c>
      <c r="E35" s="19" t="s">
        <v>236</v>
      </c>
      <c r="F35" s="19">
        <v>1.25E7</v>
      </c>
      <c r="G35" s="19">
        <v>8500000.0</v>
      </c>
      <c r="H35" s="19">
        <v>55.0</v>
      </c>
      <c r="I35" s="19">
        <v>20.0</v>
      </c>
      <c r="J35" s="19">
        <v>5.0</v>
      </c>
      <c r="K35" s="19">
        <v>20.0</v>
      </c>
      <c r="L35" s="19">
        <v>4.0</v>
      </c>
      <c r="M35" s="19" t="s">
        <v>134</v>
      </c>
      <c r="N35" s="19" t="s">
        <v>20</v>
      </c>
      <c r="O35" s="19" t="s">
        <v>237</v>
      </c>
    </row>
    <row r="36">
      <c r="A36" s="19" t="s">
        <v>185</v>
      </c>
      <c r="B36" s="19" t="s">
        <v>102</v>
      </c>
      <c r="C36" s="19" t="s">
        <v>101</v>
      </c>
      <c r="D36" s="35">
        <v>26614.0</v>
      </c>
      <c r="E36" s="19" t="s">
        <v>265</v>
      </c>
      <c r="F36" s="19">
        <v>9400000.0</v>
      </c>
      <c r="G36" s="19">
        <v>8500000.0</v>
      </c>
      <c r="H36" s="19">
        <v>45.0</v>
      </c>
      <c r="I36" s="19">
        <v>25.0</v>
      </c>
      <c r="J36" s="19">
        <v>5.0</v>
      </c>
      <c r="K36" s="19">
        <v>25.0</v>
      </c>
      <c r="L36" s="19">
        <v>0.0</v>
      </c>
      <c r="M36" s="19" t="s">
        <v>134</v>
      </c>
      <c r="N36" s="19" t="s">
        <v>20</v>
      </c>
      <c r="O36" s="19" t="s">
        <v>239</v>
      </c>
    </row>
    <row r="37">
      <c r="A37" s="19" t="s">
        <v>198</v>
      </c>
      <c r="B37" s="19" t="s">
        <v>103</v>
      </c>
      <c r="C37" s="19" t="s">
        <v>101</v>
      </c>
      <c r="D37" s="35">
        <v>26184.0</v>
      </c>
      <c r="E37" s="19" t="s">
        <v>266</v>
      </c>
      <c r="F37" s="19">
        <v>2150000.0</v>
      </c>
      <c r="G37" s="19">
        <v>800000.0</v>
      </c>
      <c r="H37" s="19">
        <v>50.0</v>
      </c>
      <c r="I37" s="19">
        <v>15.0</v>
      </c>
      <c r="J37" s="19">
        <v>5.0</v>
      </c>
      <c r="K37" s="19">
        <v>30.0</v>
      </c>
      <c r="L37" s="19">
        <v>5.0</v>
      </c>
      <c r="M37" s="19" t="s">
        <v>134</v>
      </c>
      <c r="N37" s="19" t="s">
        <v>30</v>
      </c>
      <c r="O37" s="19" t="s">
        <v>241</v>
      </c>
    </row>
    <row r="38">
      <c r="A38" s="19" t="s">
        <v>178</v>
      </c>
      <c r="B38" s="19" t="s">
        <v>104</v>
      </c>
      <c r="C38" s="19" t="s">
        <v>101</v>
      </c>
      <c r="D38" s="35">
        <v>25083.0</v>
      </c>
      <c r="E38" s="19" t="s">
        <v>242</v>
      </c>
      <c r="F38" s="19">
        <v>1.875E7</v>
      </c>
      <c r="G38" s="19">
        <v>1.2E7</v>
      </c>
      <c r="H38" s="19">
        <v>62.0</v>
      </c>
      <c r="I38" s="19">
        <v>15.0</v>
      </c>
      <c r="J38" s="19">
        <v>3.0</v>
      </c>
      <c r="K38" s="19">
        <v>20.0</v>
      </c>
      <c r="L38" s="19">
        <v>6.5</v>
      </c>
      <c r="M38" s="19" t="s">
        <v>134</v>
      </c>
      <c r="N38" s="19" t="s">
        <v>30</v>
      </c>
      <c r="O38" s="19" t="s">
        <v>243</v>
      </c>
    </row>
    <row r="39">
      <c r="A39" s="19" t="s">
        <v>178</v>
      </c>
      <c r="B39" s="19" t="s">
        <v>105</v>
      </c>
      <c r="C39" s="19" t="s">
        <v>101</v>
      </c>
      <c r="D39" s="35">
        <v>27421.0</v>
      </c>
      <c r="E39" s="19" t="s">
        <v>244</v>
      </c>
      <c r="F39" s="19">
        <v>9500000.0</v>
      </c>
      <c r="G39" s="19">
        <v>6500000.0</v>
      </c>
      <c r="H39" s="19">
        <v>70.0</v>
      </c>
      <c r="I39" s="19">
        <v>10.0</v>
      </c>
      <c r="J39" s="19">
        <v>5.0</v>
      </c>
      <c r="K39" s="19">
        <v>15.0</v>
      </c>
      <c r="L39" s="19">
        <v>12.8</v>
      </c>
      <c r="M39" s="19" t="s">
        <v>134</v>
      </c>
      <c r="N39" s="19" t="s">
        <v>49</v>
      </c>
      <c r="O39" s="19" t="s">
        <v>245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267</v>
      </c>
      <c r="B1" s="19" t="s">
        <v>61</v>
      </c>
      <c r="C1" s="19" t="s">
        <v>156</v>
      </c>
      <c r="D1" s="19" t="s">
        <v>268</v>
      </c>
      <c r="E1" s="19" t="s">
        <v>269</v>
      </c>
      <c r="F1" s="19" t="s">
        <v>270</v>
      </c>
      <c r="G1" s="19" t="s">
        <v>252</v>
      </c>
      <c r="H1" s="19" t="s">
        <v>253</v>
      </c>
      <c r="I1" s="19" t="s">
        <v>254</v>
      </c>
      <c r="J1" s="19" t="s">
        <v>255</v>
      </c>
      <c r="K1" s="19" t="s">
        <v>62</v>
      </c>
      <c r="L1" s="19" t="s">
        <v>271</v>
      </c>
      <c r="M1" s="19" t="s">
        <v>160</v>
      </c>
      <c r="N1" s="19" t="s">
        <v>9</v>
      </c>
    </row>
    <row r="2">
      <c r="A2" s="19" t="s">
        <v>70</v>
      </c>
      <c r="B2" s="19" t="s">
        <v>71</v>
      </c>
      <c r="C2" s="35">
        <v>21287.0</v>
      </c>
      <c r="D2" s="19" t="s">
        <v>179</v>
      </c>
      <c r="E2" s="19">
        <v>850000.0</v>
      </c>
      <c r="F2" s="19">
        <v>650000.0</v>
      </c>
      <c r="G2" s="19">
        <v>18.0</v>
      </c>
      <c r="H2" s="19">
        <v>62.0</v>
      </c>
      <c r="I2" s="19">
        <v>20.0</v>
      </c>
      <c r="J2" s="19">
        <v>0.0</v>
      </c>
      <c r="K2" s="19">
        <v>2.5</v>
      </c>
      <c r="L2" s="19" t="s">
        <v>272</v>
      </c>
      <c r="M2" s="19" t="s">
        <v>273</v>
      </c>
      <c r="N2" s="19" t="s">
        <v>274</v>
      </c>
    </row>
    <row r="3">
      <c r="A3" s="19" t="s">
        <v>74</v>
      </c>
      <c r="B3" s="19" t="s">
        <v>71</v>
      </c>
      <c r="C3" s="35">
        <v>22512.0</v>
      </c>
      <c r="D3" s="19" t="s">
        <v>188</v>
      </c>
      <c r="E3" s="19">
        <v>1200000.0</v>
      </c>
      <c r="F3" s="19">
        <v>900000.0</v>
      </c>
      <c r="G3" s="19">
        <v>22.0</v>
      </c>
      <c r="H3" s="19">
        <v>58.0</v>
      </c>
      <c r="I3" s="19">
        <v>20.0</v>
      </c>
      <c r="J3" s="19">
        <v>0.0</v>
      </c>
      <c r="K3" s="19">
        <v>4.0</v>
      </c>
      <c r="L3" s="19" t="s">
        <v>272</v>
      </c>
      <c r="M3" s="19" t="s">
        <v>275</v>
      </c>
      <c r="N3" s="19" t="s">
        <v>30</v>
      </c>
    </row>
    <row r="4">
      <c r="A4" s="19" t="s">
        <v>276</v>
      </c>
      <c r="B4" s="19" t="s">
        <v>71</v>
      </c>
      <c r="C4" s="35">
        <v>20123.0</v>
      </c>
      <c r="D4" s="19" t="s">
        <v>277</v>
      </c>
      <c r="E4" s="19">
        <v>675000.0</v>
      </c>
      <c r="F4" s="19">
        <v>500000.0</v>
      </c>
      <c r="G4" s="19">
        <v>26.0</v>
      </c>
      <c r="H4" s="19">
        <v>54.0</v>
      </c>
      <c r="I4" s="19">
        <v>20.0</v>
      </c>
      <c r="J4" s="19">
        <v>0.0</v>
      </c>
      <c r="K4" s="19">
        <v>7.2</v>
      </c>
      <c r="L4" s="19" t="s">
        <v>272</v>
      </c>
      <c r="M4" s="19" t="s">
        <v>278</v>
      </c>
      <c r="N4" s="19" t="s">
        <v>49</v>
      </c>
    </row>
    <row r="5">
      <c r="A5" s="19" t="s">
        <v>279</v>
      </c>
      <c r="B5" s="19" t="s">
        <v>71</v>
      </c>
      <c r="C5" s="35">
        <v>23702.0</v>
      </c>
      <c r="D5" s="19" t="s">
        <v>280</v>
      </c>
      <c r="E5" s="19">
        <v>425000.0</v>
      </c>
      <c r="F5" s="19">
        <v>300000.0</v>
      </c>
      <c r="G5" s="19">
        <v>16.0</v>
      </c>
      <c r="H5" s="19">
        <v>64.0</v>
      </c>
      <c r="I5" s="19">
        <v>20.0</v>
      </c>
      <c r="J5" s="19">
        <v>0.0</v>
      </c>
      <c r="K5" s="19">
        <v>-3.8</v>
      </c>
      <c r="L5" s="19" t="s">
        <v>272</v>
      </c>
      <c r="M5" s="19" t="s">
        <v>281</v>
      </c>
      <c r="N5" s="19" t="s">
        <v>30</v>
      </c>
    </row>
    <row r="6">
      <c r="A6" s="19" t="s">
        <v>282</v>
      </c>
      <c r="B6" s="19" t="s">
        <v>71</v>
      </c>
      <c r="C6" s="35">
        <v>21716.0</v>
      </c>
      <c r="D6" s="19" t="s">
        <v>283</v>
      </c>
      <c r="E6" s="19">
        <v>2100000.0</v>
      </c>
      <c r="F6" s="19">
        <v>1600000.0</v>
      </c>
      <c r="G6" s="19">
        <v>20.0</v>
      </c>
      <c r="H6" s="19">
        <v>60.0</v>
      </c>
      <c r="I6" s="19">
        <v>20.0</v>
      </c>
      <c r="J6" s="19">
        <v>0.0</v>
      </c>
      <c r="K6" s="19">
        <v>0.8</v>
      </c>
      <c r="L6" s="19" t="s">
        <v>272</v>
      </c>
      <c r="M6" s="19" t="s">
        <v>284</v>
      </c>
      <c r="N6" s="19" t="s">
        <v>274</v>
      </c>
    </row>
    <row r="7">
      <c r="A7" s="19" t="s">
        <v>76</v>
      </c>
      <c r="B7" s="19" t="s">
        <v>77</v>
      </c>
      <c r="C7" s="35">
        <v>29298.0</v>
      </c>
      <c r="D7" s="19" t="s">
        <v>194</v>
      </c>
      <c r="E7" s="19">
        <v>950000.0</v>
      </c>
      <c r="F7" s="19">
        <v>650000.0</v>
      </c>
      <c r="G7" s="19">
        <v>55.0</v>
      </c>
      <c r="H7" s="19">
        <v>35.0</v>
      </c>
      <c r="I7" s="19">
        <v>10.0</v>
      </c>
      <c r="J7" s="19">
        <v>0.0</v>
      </c>
      <c r="K7" s="19">
        <v>3.2</v>
      </c>
      <c r="L7" s="19" t="s">
        <v>285</v>
      </c>
      <c r="M7" s="19" t="s">
        <v>286</v>
      </c>
      <c r="N7" s="19" t="s">
        <v>274</v>
      </c>
    </row>
    <row r="8">
      <c r="A8" s="19" t="s">
        <v>287</v>
      </c>
      <c r="B8" s="19" t="s">
        <v>77</v>
      </c>
      <c r="C8" s="35">
        <v>28393.0</v>
      </c>
      <c r="D8" s="19" t="s">
        <v>288</v>
      </c>
      <c r="E8" s="19">
        <v>1800000.0</v>
      </c>
      <c r="F8" s="19">
        <v>1200000.0</v>
      </c>
      <c r="G8" s="19">
        <v>62.0</v>
      </c>
      <c r="H8" s="19">
        <v>28.0</v>
      </c>
      <c r="I8" s="19">
        <v>10.0</v>
      </c>
      <c r="J8" s="19">
        <v>0.0</v>
      </c>
      <c r="K8" s="19">
        <v>5.5</v>
      </c>
      <c r="L8" s="19" t="s">
        <v>285</v>
      </c>
      <c r="M8" s="19" t="s">
        <v>289</v>
      </c>
      <c r="N8" s="19" t="s">
        <v>30</v>
      </c>
    </row>
    <row r="9">
      <c r="A9" s="19" t="s">
        <v>290</v>
      </c>
      <c r="B9" s="19" t="s">
        <v>77</v>
      </c>
      <c r="C9" s="35">
        <v>32156.0</v>
      </c>
      <c r="D9" s="19" t="s">
        <v>291</v>
      </c>
      <c r="E9" s="19">
        <v>650000.0</v>
      </c>
      <c r="F9" s="19">
        <v>400000.0</v>
      </c>
      <c r="G9" s="19">
        <v>66.0</v>
      </c>
      <c r="H9" s="19">
        <v>24.0</v>
      </c>
      <c r="I9" s="19">
        <v>10.0</v>
      </c>
      <c r="J9" s="19">
        <v>0.0</v>
      </c>
      <c r="K9" s="19">
        <v>11.0</v>
      </c>
      <c r="L9" s="19" t="s">
        <v>285</v>
      </c>
      <c r="M9" s="19" t="s">
        <v>292</v>
      </c>
      <c r="N9" s="19" t="s">
        <v>49</v>
      </c>
    </row>
    <row r="10">
      <c r="A10" s="19" t="s">
        <v>293</v>
      </c>
      <c r="B10" s="19" t="s">
        <v>77</v>
      </c>
      <c r="C10" s="35">
        <v>30141.0</v>
      </c>
      <c r="D10" s="19" t="s">
        <v>294</v>
      </c>
      <c r="E10" s="19">
        <v>1450000.0</v>
      </c>
      <c r="F10" s="19">
        <v>1000000.0</v>
      </c>
      <c r="G10" s="19">
        <v>58.0</v>
      </c>
      <c r="H10" s="19">
        <v>32.0</v>
      </c>
      <c r="I10" s="19">
        <v>10.0</v>
      </c>
      <c r="J10" s="19">
        <v>0.0</v>
      </c>
      <c r="K10" s="19">
        <v>-4.5</v>
      </c>
      <c r="L10" s="19" t="s">
        <v>285</v>
      </c>
      <c r="M10" s="19" t="s">
        <v>295</v>
      </c>
      <c r="N10" s="19" t="s">
        <v>274</v>
      </c>
    </row>
    <row r="11">
      <c r="A11" s="19" t="s">
        <v>296</v>
      </c>
      <c r="B11" s="19" t="s">
        <v>77</v>
      </c>
      <c r="C11" s="35">
        <v>29006.0</v>
      </c>
      <c r="D11" s="19" t="s">
        <v>297</v>
      </c>
      <c r="E11" s="19">
        <v>2250000.0</v>
      </c>
      <c r="F11" s="19">
        <v>1500000.0</v>
      </c>
      <c r="G11" s="19">
        <v>63.0</v>
      </c>
      <c r="H11" s="19">
        <v>27.0</v>
      </c>
      <c r="I11" s="19">
        <v>10.0</v>
      </c>
      <c r="J11" s="19">
        <v>0.0</v>
      </c>
      <c r="K11" s="19">
        <v>6.0</v>
      </c>
      <c r="L11" s="19" t="s">
        <v>285</v>
      </c>
      <c r="M11" s="19" t="s">
        <v>298</v>
      </c>
      <c r="N11" s="19" t="s">
        <v>30</v>
      </c>
    </row>
    <row r="12">
      <c r="A12" s="19" t="s">
        <v>82</v>
      </c>
      <c r="B12" s="19" t="s">
        <v>83</v>
      </c>
      <c r="C12" s="35">
        <v>34978.0</v>
      </c>
      <c r="D12" s="19" t="s">
        <v>205</v>
      </c>
      <c r="E12" s="19">
        <v>325000.0</v>
      </c>
      <c r="F12" s="19">
        <v>200000.0</v>
      </c>
      <c r="G12" s="19">
        <v>80.0</v>
      </c>
      <c r="H12" s="19">
        <v>10.0</v>
      </c>
      <c r="I12" s="19">
        <v>5.0</v>
      </c>
      <c r="J12" s="19">
        <v>5.0</v>
      </c>
      <c r="K12" s="19">
        <v>5.0</v>
      </c>
      <c r="L12" s="19" t="s">
        <v>299</v>
      </c>
      <c r="M12" s="19" t="s">
        <v>300</v>
      </c>
      <c r="N12" s="19" t="s">
        <v>274</v>
      </c>
    </row>
    <row r="13">
      <c r="A13" s="19" t="s">
        <v>86</v>
      </c>
      <c r="B13" s="19" t="s">
        <v>83</v>
      </c>
      <c r="C13" s="35">
        <v>34087.0</v>
      </c>
      <c r="D13" s="19" t="s">
        <v>211</v>
      </c>
      <c r="E13" s="19">
        <v>875000.0</v>
      </c>
      <c r="F13" s="19">
        <v>500000.0</v>
      </c>
      <c r="G13" s="19">
        <v>88.0</v>
      </c>
      <c r="H13" s="19">
        <v>7.0</v>
      </c>
      <c r="I13" s="19">
        <v>5.0</v>
      </c>
      <c r="J13" s="19">
        <v>0.0</v>
      </c>
      <c r="K13" s="19">
        <v>8.0</v>
      </c>
      <c r="L13" s="19" t="s">
        <v>299</v>
      </c>
      <c r="M13" s="19" t="s">
        <v>301</v>
      </c>
      <c r="N13" s="19" t="s">
        <v>30</v>
      </c>
    </row>
    <row r="14">
      <c r="A14" s="19" t="s">
        <v>302</v>
      </c>
      <c r="B14" s="19" t="s">
        <v>83</v>
      </c>
      <c r="C14" s="35">
        <v>36146.0</v>
      </c>
      <c r="D14" s="19" t="s">
        <v>303</v>
      </c>
      <c r="E14" s="19">
        <v>450000.0</v>
      </c>
      <c r="F14" s="19">
        <v>250000.0</v>
      </c>
      <c r="G14" s="19">
        <v>92.0</v>
      </c>
      <c r="H14" s="19">
        <v>3.0</v>
      </c>
      <c r="I14" s="19">
        <v>5.0</v>
      </c>
      <c r="J14" s="19">
        <v>0.0</v>
      </c>
      <c r="K14" s="19">
        <v>15.8</v>
      </c>
      <c r="L14" s="19" t="s">
        <v>299</v>
      </c>
      <c r="M14" s="19" t="s">
        <v>304</v>
      </c>
      <c r="N14" s="19" t="s">
        <v>49</v>
      </c>
    </row>
    <row r="15">
      <c r="A15" s="19" t="s">
        <v>305</v>
      </c>
      <c r="B15" s="19" t="s">
        <v>83</v>
      </c>
      <c r="C15" s="35">
        <v>32926.0</v>
      </c>
      <c r="D15" s="19" t="s">
        <v>306</v>
      </c>
      <c r="E15" s="19">
        <v>1450000.0</v>
      </c>
      <c r="F15" s="19">
        <v>850000.0</v>
      </c>
      <c r="G15" s="19">
        <v>76.0</v>
      </c>
      <c r="H15" s="19">
        <v>14.0</v>
      </c>
      <c r="I15" s="19">
        <v>5.0</v>
      </c>
      <c r="J15" s="19">
        <v>5.0</v>
      </c>
      <c r="K15" s="19">
        <v>-6.5</v>
      </c>
      <c r="L15" s="19" t="s">
        <v>299</v>
      </c>
      <c r="M15" s="19" t="s">
        <v>295</v>
      </c>
      <c r="N15" s="19" t="s">
        <v>274</v>
      </c>
    </row>
    <row r="16">
      <c r="A16" s="19" t="s">
        <v>307</v>
      </c>
      <c r="B16" s="19" t="s">
        <v>83</v>
      </c>
      <c r="C16" s="35">
        <v>35288.0</v>
      </c>
      <c r="D16" s="19" t="s">
        <v>308</v>
      </c>
      <c r="E16" s="19">
        <v>2200000.0</v>
      </c>
      <c r="F16" s="19">
        <v>1200000.0</v>
      </c>
      <c r="G16" s="19">
        <v>85.0</v>
      </c>
      <c r="H16" s="19">
        <v>10.0</v>
      </c>
      <c r="I16" s="19">
        <v>5.0</v>
      </c>
      <c r="J16" s="19">
        <v>0.0</v>
      </c>
      <c r="K16" s="19">
        <v>7.5</v>
      </c>
      <c r="L16" s="19" t="s">
        <v>299</v>
      </c>
      <c r="M16" s="19" t="s">
        <v>309</v>
      </c>
      <c r="N16" s="19" t="s">
        <v>30</v>
      </c>
    </row>
    <row r="17">
      <c r="A17" s="19" t="s">
        <v>88</v>
      </c>
      <c r="B17" s="19" t="s">
        <v>89</v>
      </c>
      <c r="C17" s="35">
        <v>22040.0</v>
      </c>
      <c r="D17" s="19" t="s">
        <v>216</v>
      </c>
      <c r="E17" s="19">
        <v>1100000.0</v>
      </c>
      <c r="F17" s="19">
        <v>850000.0</v>
      </c>
      <c r="G17" s="19">
        <v>30.0</v>
      </c>
      <c r="H17" s="19">
        <v>55.0</v>
      </c>
      <c r="I17" s="19">
        <v>15.0</v>
      </c>
      <c r="J17" s="19">
        <v>0.0</v>
      </c>
      <c r="K17" s="19">
        <v>3.5</v>
      </c>
      <c r="L17" s="19" t="s">
        <v>272</v>
      </c>
      <c r="M17" s="19" t="s">
        <v>310</v>
      </c>
      <c r="N17" s="19" t="s">
        <v>274</v>
      </c>
    </row>
    <row r="18">
      <c r="A18" s="19" t="s">
        <v>92</v>
      </c>
      <c r="B18" s="19" t="s">
        <v>89</v>
      </c>
      <c r="C18" s="35">
        <v>21078.0</v>
      </c>
      <c r="D18" s="19" t="s">
        <v>222</v>
      </c>
      <c r="E18" s="19">
        <v>1650000.0</v>
      </c>
      <c r="F18" s="19">
        <v>1250000.0</v>
      </c>
      <c r="G18" s="19">
        <v>36.0</v>
      </c>
      <c r="H18" s="19">
        <v>49.0</v>
      </c>
      <c r="I18" s="19">
        <v>15.0</v>
      </c>
      <c r="J18" s="19">
        <v>0.0</v>
      </c>
      <c r="K18" s="19">
        <v>5.0</v>
      </c>
      <c r="L18" s="19" t="s">
        <v>272</v>
      </c>
      <c r="M18" s="19" t="s">
        <v>311</v>
      </c>
      <c r="N18" s="19" t="s">
        <v>30</v>
      </c>
    </row>
    <row r="19">
      <c r="A19" s="19" t="s">
        <v>93</v>
      </c>
      <c r="B19" s="19" t="s">
        <v>89</v>
      </c>
      <c r="C19" s="35">
        <v>22654.0</v>
      </c>
      <c r="D19" s="19" t="s">
        <v>224</v>
      </c>
      <c r="E19" s="19">
        <v>780000.0</v>
      </c>
      <c r="F19" s="19">
        <v>600000.0</v>
      </c>
      <c r="G19" s="19">
        <v>42.0</v>
      </c>
      <c r="H19" s="19">
        <v>43.0</v>
      </c>
      <c r="I19" s="19">
        <v>15.0</v>
      </c>
      <c r="J19" s="19">
        <v>0.0</v>
      </c>
      <c r="K19" s="19">
        <v>9.5</v>
      </c>
      <c r="L19" s="19" t="s">
        <v>272</v>
      </c>
      <c r="M19" s="19" t="s">
        <v>312</v>
      </c>
      <c r="N19" s="19" t="s">
        <v>49</v>
      </c>
    </row>
    <row r="20">
      <c r="A20" s="19" t="s">
        <v>313</v>
      </c>
      <c r="B20" s="19" t="s">
        <v>89</v>
      </c>
      <c r="C20" s="35">
        <v>21885.0</v>
      </c>
      <c r="D20" s="19" t="s">
        <v>314</v>
      </c>
      <c r="E20" s="19">
        <v>925000.0</v>
      </c>
      <c r="F20" s="19">
        <v>700000.0</v>
      </c>
      <c r="G20" s="19">
        <v>28.0</v>
      </c>
      <c r="H20" s="19">
        <v>57.0</v>
      </c>
      <c r="I20" s="19">
        <v>15.0</v>
      </c>
      <c r="J20" s="19">
        <v>0.0</v>
      </c>
      <c r="K20" s="19">
        <v>-4.2</v>
      </c>
      <c r="L20" s="19" t="s">
        <v>272</v>
      </c>
      <c r="M20" s="19" t="s">
        <v>315</v>
      </c>
      <c r="N20" s="19" t="s">
        <v>30</v>
      </c>
    </row>
    <row r="21">
      <c r="A21" s="19" t="s">
        <v>316</v>
      </c>
      <c r="B21" s="19" t="s">
        <v>89</v>
      </c>
      <c r="C21" s="35">
        <v>23218.0</v>
      </c>
      <c r="D21" s="19" t="s">
        <v>317</v>
      </c>
      <c r="E21" s="19">
        <v>2500000.0</v>
      </c>
      <c r="F21" s="19">
        <v>1800000.0</v>
      </c>
      <c r="G21" s="19">
        <v>32.0</v>
      </c>
      <c r="H21" s="19">
        <v>53.0</v>
      </c>
      <c r="I21" s="19">
        <v>15.0</v>
      </c>
      <c r="J21" s="19">
        <v>0.0</v>
      </c>
      <c r="K21" s="19">
        <v>1.8</v>
      </c>
      <c r="L21" s="19" t="s">
        <v>272</v>
      </c>
      <c r="M21" s="19" t="s">
        <v>273</v>
      </c>
      <c r="N21" s="19" t="s">
        <v>274</v>
      </c>
    </row>
    <row r="22">
      <c r="A22" s="19" t="s">
        <v>94</v>
      </c>
      <c r="B22" s="19" t="s">
        <v>95</v>
      </c>
      <c r="C22" s="35">
        <v>19065.0</v>
      </c>
      <c r="D22" s="19" t="s">
        <v>226</v>
      </c>
      <c r="E22" s="19">
        <v>1800000.0</v>
      </c>
      <c r="F22" s="19">
        <v>1300000.0</v>
      </c>
      <c r="G22" s="19">
        <v>40.0</v>
      </c>
      <c r="H22" s="19">
        <v>50.0</v>
      </c>
      <c r="I22" s="19">
        <v>10.0</v>
      </c>
      <c r="J22" s="19">
        <v>0.0</v>
      </c>
      <c r="K22" s="19">
        <v>2.0</v>
      </c>
      <c r="L22" s="19" t="s">
        <v>272</v>
      </c>
      <c r="M22" s="19" t="s">
        <v>318</v>
      </c>
      <c r="N22" s="19" t="s">
        <v>274</v>
      </c>
    </row>
    <row r="23">
      <c r="A23" s="19" t="s">
        <v>98</v>
      </c>
      <c r="B23" s="19" t="s">
        <v>95</v>
      </c>
      <c r="C23" s="35">
        <v>18443.0</v>
      </c>
      <c r="D23" s="19" t="s">
        <v>232</v>
      </c>
      <c r="E23" s="19">
        <v>2400000.0</v>
      </c>
      <c r="F23" s="19">
        <v>1800000.0</v>
      </c>
      <c r="G23" s="19">
        <v>48.0</v>
      </c>
      <c r="H23" s="19">
        <v>42.0</v>
      </c>
      <c r="I23" s="19">
        <v>10.0</v>
      </c>
      <c r="J23" s="19">
        <v>0.0</v>
      </c>
      <c r="K23" s="19">
        <v>4.5</v>
      </c>
      <c r="L23" s="19" t="s">
        <v>272</v>
      </c>
      <c r="M23" s="19" t="s">
        <v>319</v>
      </c>
      <c r="N23" s="19" t="s">
        <v>30</v>
      </c>
    </row>
    <row r="24">
      <c r="A24" s="19" t="s">
        <v>99</v>
      </c>
      <c r="B24" s="19" t="s">
        <v>95</v>
      </c>
      <c r="C24" s="35">
        <v>17851.0</v>
      </c>
      <c r="D24" s="19" t="s">
        <v>234</v>
      </c>
      <c r="E24" s="19">
        <v>950000.0</v>
      </c>
      <c r="F24" s="19">
        <v>750000.0</v>
      </c>
      <c r="G24" s="19">
        <v>56.0</v>
      </c>
      <c r="H24" s="19">
        <v>34.0</v>
      </c>
      <c r="I24" s="19">
        <v>10.0</v>
      </c>
      <c r="J24" s="19">
        <v>0.0</v>
      </c>
      <c r="K24" s="19">
        <v>9.2</v>
      </c>
      <c r="L24" s="19" t="s">
        <v>272</v>
      </c>
      <c r="M24" s="19" t="s">
        <v>320</v>
      </c>
      <c r="N24" s="19" t="s">
        <v>49</v>
      </c>
    </row>
    <row r="25">
      <c r="A25" s="19" t="s">
        <v>321</v>
      </c>
      <c r="B25" s="19" t="s">
        <v>95</v>
      </c>
      <c r="C25" s="35">
        <v>19763.0</v>
      </c>
      <c r="D25" s="19" t="s">
        <v>322</v>
      </c>
      <c r="E25" s="19">
        <v>1350000.0</v>
      </c>
      <c r="F25" s="19">
        <v>1000000.0</v>
      </c>
      <c r="G25" s="19">
        <v>38.0</v>
      </c>
      <c r="H25" s="19">
        <v>52.0</v>
      </c>
      <c r="I25" s="19">
        <v>10.0</v>
      </c>
      <c r="J25" s="19">
        <v>0.0</v>
      </c>
      <c r="K25" s="19">
        <v>-3.5</v>
      </c>
      <c r="L25" s="19" t="s">
        <v>272</v>
      </c>
      <c r="M25" s="19" t="s">
        <v>323</v>
      </c>
      <c r="N25" s="19" t="s">
        <v>30</v>
      </c>
    </row>
    <row r="26">
      <c r="A26" s="19" t="s">
        <v>324</v>
      </c>
      <c r="B26" s="19" t="s">
        <v>95</v>
      </c>
      <c r="C26" s="35">
        <v>18857.0</v>
      </c>
      <c r="D26" s="19" t="s">
        <v>325</v>
      </c>
      <c r="E26" s="19">
        <v>3100000.0</v>
      </c>
      <c r="F26" s="19">
        <v>2200000.0</v>
      </c>
      <c r="G26" s="19">
        <v>45.0</v>
      </c>
      <c r="H26" s="19">
        <v>45.0</v>
      </c>
      <c r="I26" s="19">
        <v>10.0</v>
      </c>
      <c r="J26" s="19">
        <v>0.0</v>
      </c>
      <c r="K26" s="19">
        <v>1.0</v>
      </c>
      <c r="L26" s="19" t="s">
        <v>272</v>
      </c>
      <c r="M26" s="19" t="s">
        <v>326</v>
      </c>
      <c r="N26" s="19" t="s">
        <v>274</v>
      </c>
    </row>
    <row r="27">
      <c r="A27" s="19" t="s">
        <v>100</v>
      </c>
      <c r="B27" s="19" t="s">
        <v>101</v>
      </c>
      <c r="C27" s="35">
        <v>26404.0</v>
      </c>
      <c r="D27" s="19" t="s">
        <v>236</v>
      </c>
      <c r="E27" s="19">
        <v>1.25E7</v>
      </c>
      <c r="F27" s="19">
        <v>8500000.0</v>
      </c>
      <c r="G27" s="19">
        <v>55.0</v>
      </c>
      <c r="H27" s="19">
        <v>20.0</v>
      </c>
      <c r="I27" s="19">
        <v>5.0</v>
      </c>
      <c r="J27" s="19">
        <v>20.0</v>
      </c>
      <c r="K27" s="19">
        <v>4.0</v>
      </c>
      <c r="L27" s="19" t="s">
        <v>285</v>
      </c>
      <c r="M27" s="19" t="s">
        <v>327</v>
      </c>
      <c r="N27" s="19" t="s">
        <v>274</v>
      </c>
    </row>
    <row r="28">
      <c r="A28" s="19" t="s">
        <v>104</v>
      </c>
      <c r="B28" s="19" t="s">
        <v>101</v>
      </c>
      <c r="C28" s="35">
        <v>25083.0</v>
      </c>
      <c r="D28" s="19" t="s">
        <v>242</v>
      </c>
      <c r="E28" s="19">
        <v>1.875E7</v>
      </c>
      <c r="F28" s="19">
        <v>1.2E7</v>
      </c>
      <c r="G28" s="19">
        <v>62.0</v>
      </c>
      <c r="H28" s="19">
        <v>15.0</v>
      </c>
      <c r="I28" s="19">
        <v>3.0</v>
      </c>
      <c r="J28" s="19">
        <v>20.0</v>
      </c>
      <c r="K28" s="19">
        <v>6.5</v>
      </c>
      <c r="L28" s="19" t="s">
        <v>285</v>
      </c>
      <c r="M28" s="19" t="s">
        <v>328</v>
      </c>
      <c r="N28" s="19" t="s">
        <v>30</v>
      </c>
    </row>
    <row r="29">
      <c r="A29" s="19" t="s">
        <v>105</v>
      </c>
      <c r="B29" s="19" t="s">
        <v>101</v>
      </c>
      <c r="C29" s="35">
        <v>27421.0</v>
      </c>
      <c r="D29" s="19" t="s">
        <v>244</v>
      </c>
      <c r="E29" s="19">
        <v>9500000.0</v>
      </c>
      <c r="F29" s="19">
        <v>6500000.0</v>
      </c>
      <c r="G29" s="19">
        <v>70.0</v>
      </c>
      <c r="H29" s="19">
        <v>10.0</v>
      </c>
      <c r="I29" s="19">
        <v>5.0</v>
      </c>
      <c r="J29" s="19">
        <v>15.0</v>
      </c>
      <c r="K29" s="19">
        <v>12.8</v>
      </c>
      <c r="L29" s="19" t="s">
        <v>285</v>
      </c>
      <c r="M29" s="19" t="s">
        <v>329</v>
      </c>
      <c r="N29" s="19" t="s">
        <v>49</v>
      </c>
    </row>
    <row r="30">
      <c r="A30" s="19" t="s">
        <v>330</v>
      </c>
      <c r="B30" s="19" t="s">
        <v>101</v>
      </c>
      <c r="C30" s="35">
        <v>25913.0</v>
      </c>
      <c r="D30" s="19" t="s">
        <v>331</v>
      </c>
      <c r="E30" s="19">
        <v>2.2E7</v>
      </c>
      <c r="F30" s="19">
        <v>1.5E7</v>
      </c>
      <c r="G30" s="19">
        <v>58.0</v>
      </c>
      <c r="H30" s="19">
        <v>17.0</v>
      </c>
      <c r="I30" s="19">
        <v>5.0</v>
      </c>
      <c r="J30" s="19">
        <v>20.0</v>
      </c>
      <c r="K30" s="19">
        <v>-5.8</v>
      </c>
      <c r="L30" s="19" t="s">
        <v>285</v>
      </c>
      <c r="M30" s="19" t="s">
        <v>332</v>
      </c>
      <c r="N30" s="19" t="s">
        <v>274</v>
      </c>
    </row>
    <row r="31">
      <c r="A31" s="19" t="s">
        <v>333</v>
      </c>
      <c r="B31" s="19" t="s">
        <v>101</v>
      </c>
      <c r="C31" s="35">
        <v>24261.0</v>
      </c>
      <c r="D31" s="19" t="s">
        <v>334</v>
      </c>
      <c r="E31" s="19">
        <v>1.45E7</v>
      </c>
      <c r="F31" s="19">
        <v>1.0E7</v>
      </c>
      <c r="G31" s="19">
        <v>64.0</v>
      </c>
      <c r="H31" s="19">
        <v>11.0</v>
      </c>
      <c r="I31" s="19">
        <v>5.0</v>
      </c>
      <c r="J31" s="19">
        <v>20.0</v>
      </c>
      <c r="K31" s="19">
        <v>7.0</v>
      </c>
      <c r="L31" s="19" t="s">
        <v>285</v>
      </c>
      <c r="M31" s="19" t="s">
        <v>335</v>
      </c>
      <c r="N31" s="19" t="s"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157</v>
      </c>
      <c r="B1" s="42" t="s">
        <v>60</v>
      </c>
      <c r="C1" s="42" t="s">
        <v>336</v>
      </c>
      <c r="D1" s="42" t="s">
        <v>156</v>
      </c>
      <c r="E1" s="42" t="s">
        <v>337</v>
      </c>
      <c r="F1" s="42" t="s">
        <v>159</v>
      </c>
      <c r="G1" s="42" t="s">
        <v>338</v>
      </c>
      <c r="H1" s="42" t="s">
        <v>339</v>
      </c>
      <c r="I1" s="42" t="s">
        <v>340</v>
      </c>
      <c r="J1" s="42" t="s">
        <v>253</v>
      </c>
      <c r="K1" s="42" t="s">
        <v>341</v>
      </c>
      <c r="L1" s="42" t="s">
        <v>255</v>
      </c>
      <c r="M1" s="42" t="s">
        <v>342</v>
      </c>
      <c r="N1" s="42" t="s">
        <v>343</v>
      </c>
      <c r="O1" s="42" t="s">
        <v>344</v>
      </c>
      <c r="P1" s="42" t="s">
        <v>345</v>
      </c>
      <c r="Q1" s="42" t="s">
        <v>346</v>
      </c>
      <c r="R1" s="42" t="s">
        <v>160</v>
      </c>
    </row>
    <row r="2">
      <c r="A2" s="42" t="s">
        <v>347</v>
      </c>
      <c r="B2" s="42" t="s">
        <v>348</v>
      </c>
      <c r="C2" s="42" t="s">
        <v>71</v>
      </c>
      <c r="D2" s="43">
        <v>21287.0</v>
      </c>
      <c r="E2" s="42" t="s">
        <v>349</v>
      </c>
      <c r="F2" s="42">
        <v>450000.0</v>
      </c>
      <c r="G2" s="42">
        <v>485000.0</v>
      </c>
      <c r="H2" s="42">
        <v>0.16</v>
      </c>
      <c r="I2" s="42">
        <v>77600.0</v>
      </c>
      <c r="J2" s="42">
        <v>0.74</v>
      </c>
      <c r="K2" s="42">
        <v>358900.0</v>
      </c>
      <c r="L2" s="42">
        <v>0.0</v>
      </c>
      <c r="M2" s="42">
        <v>0.0</v>
      </c>
      <c r="N2" s="42">
        <v>0.1</v>
      </c>
      <c r="O2" s="42">
        <v>48500.0</v>
      </c>
      <c r="P2" s="42">
        <v>0.0</v>
      </c>
      <c r="Q2" s="42" t="s">
        <v>350</v>
      </c>
      <c r="R2" s="42" t="s">
        <v>351</v>
      </c>
    </row>
    <row r="3">
      <c r="A3" s="42" t="s">
        <v>352</v>
      </c>
      <c r="B3" s="42" t="s">
        <v>73</v>
      </c>
      <c r="C3" s="42" t="s">
        <v>71</v>
      </c>
      <c r="D3" s="44">
        <v>23337.0</v>
      </c>
      <c r="E3" s="42" t="s">
        <v>186</v>
      </c>
      <c r="F3" s="42">
        <v>1200000.0</v>
      </c>
      <c r="G3" s="42">
        <v>1250000.0</v>
      </c>
      <c r="H3" s="42">
        <v>0.225</v>
      </c>
      <c r="I3" s="42">
        <v>281250.0</v>
      </c>
      <c r="J3" s="42">
        <v>0.7</v>
      </c>
      <c r="K3" s="42">
        <v>875000.0</v>
      </c>
      <c r="L3" s="42">
        <v>0.0</v>
      </c>
      <c r="M3" s="42">
        <v>0.0</v>
      </c>
      <c r="N3" s="42">
        <v>0.075</v>
      </c>
      <c r="O3" s="42">
        <v>93750.0</v>
      </c>
      <c r="P3" s="42">
        <v>0.035</v>
      </c>
      <c r="Q3" s="42" t="s">
        <v>353</v>
      </c>
      <c r="R3" s="42" t="s">
        <v>354</v>
      </c>
    </row>
    <row r="4">
      <c r="A4" s="42" t="s">
        <v>355</v>
      </c>
      <c r="B4" s="42" t="s">
        <v>75</v>
      </c>
      <c r="C4" s="42" t="s">
        <v>71</v>
      </c>
      <c r="D4" s="43">
        <v>26150.0</v>
      </c>
      <c r="E4" s="42" t="s">
        <v>260</v>
      </c>
      <c r="F4" s="42">
        <v>300000.0</v>
      </c>
      <c r="G4" s="42">
        <v>310000.0</v>
      </c>
      <c r="H4" s="42">
        <v>0.265</v>
      </c>
      <c r="I4" s="42">
        <v>82150.0</v>
      </c>
      <c r="J4" s="42">
        <v>0.65</v>
      </c>
      <c r="K4" s="42">
        <v>201500.0</v>
      </c>
      <c r="L4" s="42">
        <v>0.0</v>
      </c>
      <c r="M4" s="42">
        <v>0.0</v>
      </c>
      <c r="N4" s="42">
        <v>0.085</v>
      </c>
      <c r="O4" s="42">
        <v>26350.0</v>
      </c>
      <c r="P4" s="42">
        <v>0.075</v>
      </c>
      <c r="Q4" s="42" t="s">
        <v>356</v>
      </c>
      <c r="R4" s="42" t="s">
        <v>357</v>
      </c>
    </row>
    <row r="5">
      <c r="A5" s="42" t="s">
        <v>358</v>
      </c>
      <c r="B5" s="42" t="s">
        <v>359</v>
      </c>
      <c r="C5" s="42" t="s">
        <v>71</v>
      </c>
      <c r="D5" s="43">
        <v>20167.0</v>
      </c>
      <c r="E5" s="42" t="s">
        <v>360</v>
      </c>
      <c r="F5" s="42">
        <v>850000.0</v>
      </c>
      <c r="G5" s="42">
        <v>810000.0</v>
      </c>
      <c r="H5" s="42">
        <v>0.11</v>
      </c>
      <c r="I5" s="42">
        <v>89100.0</v>
      </c>
      <c r="J5" s="42">
        <v>0.82</v>
      </c>
      <c r="K5" s="42">
        <v>664200.0</v>
      </c>
      <c r="L5" s="42">
        <v>0.0</v>
      </c>
      <c r="M5" s="42">
        <v>0.0</v>
      </c>
      <c r="N5" s="42">
        <v>0.07</v>
      </c>
      <c r="O5" s="42">
        <v>56700.0</v>
      </c>
      <c r="P5" s="42">
        <v>-0.06</v>
      </c>
      <c r="Q5" s="42" t="s">
        <v>353</v>
      </c>
      <c r="R5" s="42" t="s">
        <v>361</v>
      </c>
    </row>
    <row r="6">
      <c r="A6" s="42" t="s">
        <v>362</v>
      </c>
      <c r="B6" s="42" t="s">
        <v>363</v>
      </c>
      <c r="C6" s="42" t="s">
        <v>71</v>
      </c>
      <c r="D6" s="43">
        <v>18171.0</v>
      </c>
      <c r="E6" s="42" t="s">
        <v>364</v>
      </c>
      <c r="F6" s="42">
        <v>200000.0</v>
      </c>
      <c r="G6" s="42">
        <v>195000.0</v>
      </c>
      <c r="H6" s="42">
        <v>0.08</v>
      </c>
      <c r="I6" s="42">
        <v>15600.0</v>
      </c>
      <c r="J6" s="42">
        <v>0.8</v>
      </c>
      <c r="K6" s="42">
        <v>156000.0</v>
      </c>
      <c r="L6" s="42">
        <v>0.0</v>
      </c>
      <c r="M6" s="42">
        <v>0.0</v>
      </c>
      <c r="N6" s="42">
        <v>0.12</v>
      </c>
      <c r="O6" s="42">
        <v>23400.0</v>
      </c>
      <c r="P6" s="42">
        <v>-0.09</v>
      </c>
      <c r="Q6" s="42" t="s">
        <v>356</v>
      </c>
      <c r="R6" s="42" t="s">
        <v>365</v>
      </c>
    </row>
    <row r="7">
      <c r="A7" s="42" t="s">
        <v>366</v>
      </c>
      <c r="B7" s="42" t="s">
        <v>367</v>
      </c>
      <c r="C7" s="42" t="s">
        <v>89</v>
      </c>
      <c r="D7" s="43">
        <v>24667.0</v>
      </c>
      <c r="E7" s="42" t="s">
        <v>368</v>
      </c>
      <c r="F7" s="42">
        <v>600000.0</v>
      </c>
      <c r="G7" s="42">
        <v>640000.0</v>
      </c>
      <c r="H7" s="42">
        <v>0.28</v>
      </c>
      <c r="I7" s="42">
        <v>179200.0</v>
      </c>
      <c r="J7" s="42">
        <v>0.62</v>
      </c>
      <c r="K7" s="42">
        <v>396800.0</v>
      </c>
      <c r="L7" s="42">
        <v>0.0</v>
      </c>
      <c r="M7" s="42">
        <v>0.0</v>
      </c>
      <c r="N7" s="42">
        <v>0.1</v>
      </c>
      <c r="O7" s="42">
        <v>64000.0</v>
      </c>
      <c r="P7" s="42">
        <v>0.0</v>
      </c>
      <c r="Q7" s="42" t="s">
        <v>350</v>
      </c>
      <c r="R7" s="42" t="s">
        <v>369</v>
      </c>
    </row>
    <row r="8">
      <c r="A8" s="42" t="s">
        <v>370</v>
      </c>
      <c r="B8" s="42" t="s">
        <v>91</v>
      </c>
      <c r="C8" s="42" t="s">
        <v>89</v>
      </c>
      <c r="D8" s="43">
        <v>27669.0</v>
      </c>
      <c r="E8" s="42" t="s">
        <v>220</v>
      </c>
      <c r="F8" s="42">
        <v>950000.0</v>
      </c>
      <c r="G8" s="42">
        <v>1020000.0</v>
      </c>
      <c r="H8" s="42">
        <v>0.395</v>
      </c>
      <c r="I8" s="42">
        <v>402900.0</v>
      </c>
      <c r="J8" s="42">
        <v>0.55</v>
      </c>
      <c r="K8" s="42">
        <v>561000.0</v>
      </c>
      <c r="L8" s="42">
        <v>0.0</v>
      </c>
      <c r="M8" s="42">
        <v>0.0</v>
      </c>
      <c r="N8" s="42">
        <v>0.055</v>
      </c>
      <c r="O8" s="42">
        <v>56100.0</v>
      </c>
      <c r="P8" s="42">
        <v>0.045</v>
      </c>
      <c r="Q8" s="42" t="s">
        <v>353</v>
      </c>
      <c r="R8" s="42" t="s">
        <v>371</v>
      </c>
    </row>
    <row r="9">
      <c r="A9" s="42" t="s">
        <v>372</v>
      </c>
      <c r="B9" s="42" t="s">
        <v>373</v>
      </c>
      <c r="C9" s="42" t="s">
        <v>89</v>
      </c>
      <c r="D9" s="43">
        <v>21940.0</v>
      </c>
      <c r="E9" s="42" t="s">
        <v>374</v>
      </c>
      <c r="F9" s="42">
        <v>400000.0</v>
      </c>
      <c r="G9" s="42">
        <v>390000.0</v>
      </c>
      <c r="H9" s="42">
        <v>0.11</v>
      </c>
      <c r="I9" s="42">
        <v>42900.0</v>
      </c>
      <c r="J9" s="42">
        <v>0.84</v>
      </c>
      <c r="K9" s="42">
        <v>327600.0</v>
      </c>
      <c r="L9" s="42">
        <v>0.0</v>
      </c>
      <c r="M9" s="42">
        <v>0.0</v>
      </c>
      <c r="N9" s="42">
        <v>0.05</v>
      </c>
      <c r="O9" s="42">
        <v>19500.0</v>
      </c>
      <c r="P9" s="42">
        <v>-0.09</v>
      </c>
      <c r="Q9" s="42" t="s">
        <v>356</v>
      </c>
      <c r="R9" s="42" t="s">
        <v>375</v>
      </c>
    </row>
    <row r="10">
      <c r="A10" s="42" t="s">
        <v>376</v>
      </c>
      <c r="B10" s="42" t="s">
        <v>377</v>
      </c>
      <c r="C10" s="42" t="s">
        <v>89</v>
      </c>
      <c r="D10" s="43">
        <v>30083.0</v>
      </c>
      <c r="E10" s="42" t="s">
        <v>378</v>
      </c>
      <c r="F10" s="42">
        <v>1500000.0</v>
      </c>
      <c r="G10" s="42">
        <v>1650000.0</v>
      </c>
      <c r="H10" s="42">
        <v>0.44</v>
      </c>
      <c r="I10" s="42">
        <v>726000.0</v>
      </c>
      <c r="J10" s="42">
        <v>0.52</v>
      </c>
      <c r="K10" s="42">
        <v>858000.0</v>
      </c>
      <c r="L10" s="42">
        <v>0.0</v>
      </c>
      <c r="M10" s="42">
        <v>0.0</v>
      </c>
      <c r="N10" s="42">
        <v>0.04</v>
      </c>
      <c r="O10" s="42">
        <v>66000.0</v>
      </c>
      <c r="P10" s="42">
        <v>0.09</v>
      </c>
      <c r="Q10" s="42" t="s">
        <v>356</v>
      </c>
      <c r="R10" s="42" t="s">
        <v>379</v>
      </c>
    </row>
    <row r="11">
      <c r="A11" s="42" t="s">
        <v>380</v>
      </c>
      <c r="B11" s="42" t="s">
        <v>381</v>
      </c>
      <c r="C11" s="42" t="s">
        <v>89</v>
      </c>
      <c r="D11" s="43">
        <v>25910.0</v>
      </c>
      <c r="E11" s="42" t="s">
        <v>382</v>
      </c>
      <c r="F11" s="42">
        <v>750000.0</v>
      </c>
      <c r="G11" s="42">
        <v>780000.0</v>
      </c>
      <c r="H11" s="42">
        <v>0.3</v>
      </c>
      <c r="I11" s="42">
        <v>234000.0</v>
      </c>
      <c r="J11" s="42">
        <v>0.65</v>
      </c>
      <c r="K11" s="42">
        <v>507000.0</v>
      </c>
      <c r="L11" s="42">
        <v>0.0</v>
      </c>
      <c r="M11" s="42">
        <v>0.0</v>
      </c>
      <c r="N11" s="42">
        <v>0.05</v>
      </c>
      <c r="O11" s="42">
        <v>39000.0</v>
      </c>
      <c r="P11" s="42">
        <v>0.0</v>
      </c>
      <c r="Q11" s="42" t="s">
        <v>350</v>
      </c>
      <c r="R11" s="42" t="s">
        <v>383</v>
      </c>
    </row>
    <row r="12">
      <c r="A12" s="42" t="s">
        <v>384</v>
      </c>
      <c r="B12" s="42" t="s">
        <v>385</v>
      </c>
      <c r="C12" s="42" t="s">
        <v>95</v>
      </c>
      <c r="D12" s="43">
        <v>22340.0</v>
      </c>
      <c r="E12" s="42" t="s">
        <v>386</v>
      </c>
      <c r="F12" s="42">
        <v>1100000.0</v>
      </c>
      <c r="G12" s="42">
        <v>1150000.0</v>
      </c>
      <c r="H12" s="42">
        <v>0.45</v>
      </c>
      <c r="I12" s="42">
        <v>517500.0</v>
      </c>
      <c r="J12" s="42">
        <v>0.4</v>
      </c>
      <c r="K12" s="42">
        <v>460000.0</v>
      </c>
      <c r="L12" s="42">
        <v>0.0</v>
      </c>
      <c r="M12" s="42">
        <v>0.0</v>
      </c>
      <c r="N12" s="42">
        <v>0.15</v>
      </c>
      <c r="O12" s="42">
        <v>172500.0</v>
      </c>
      <c r="P12" s="42">
        <v>0.0</v>
      </c>
      <c r="Q12" s="42" t="s">
        <v>350</v>
      </c>
      <c r="R12" s="42" t="s">
        <v>387</v>
      </c>
    </row>
    <row r="13">
      <c r="A13" s="42" t="s">
        <v>388</v>
      </c>
      <c r="B13" s="42" t="s">
        <v>97</v>
      </c>
      <c r="C13" s="42" t="s">
        <v>95</v>
      </c>
      <c r="D13" s="43">
        <v>21776.0</v>
      </c>
      <c r="E13" s="42" t="s">
        <v>230</v>
      </c>
      <c r="F13" s="42">
        <v>800000.0</v>
      </c>
      <c r="G13" s="42">
        <v>860000.0</v>
      </c>
      <c r="H13" s="42">
        <v>0.54</v>
      </c>
      <c r="I13" s="42">
        <v>464400.0</v>
      </c>
      <c r="J13" s="42">
        <v>0.36</v>
      </c>
      <c r="K13" s="42">
        <v>309600.0</v>
      </c>
      <c r="L13" s="42">
        <v>0.0</v>
      </c>
      <c r="M13" s="42">
        <v>0.0</v>
      </c>
      <c r="N13" s="42">
        <v>0.1</v>
      </c>
      <c r="O13" s="42">
        <v>86000.0</v>
      </c>
      <c r="P13" s="42">
        <v>0.04</v>
      </c>
      <c r="Q13" s="42" t="s">
        <v>353</v>
      </c>
      <c r="R13" s="42" t="s">
        <v>389</v>
      </c>
    </row>
    <row r="14">
      <c r="A14" s="42" t="s">
        <v>390</v>
      </c>
      <c r="B14" s="42" t="s">
        <v>391</v>
      </c>
      <c r="C14" s="42" t="s">
        <v>95</v>
      </c>
      <c r="D14" s="43">
        <v>21127.0</v>
      </c>
      <c r="E14" s="42" t="s">
        <v>392</v>
      </c>
      <c r="F14" s="42">
        <v>2400000.0</v>
      </c>
      <c r="G14" s="42">
        <v>2550000.0</v>
      </c>
      <c r="H14" s="42">
        <v>0.595</v>
      </c>
      <c r="I14" s="42">
        <v>1517250.0</v>
      </c>
      <c r="J14" s="42">
        <v>0.325</v>
      </c>
      <c r="K14" s="42">
        <v>828750.0</v>
      </c>
      <c r="L14" s="42">
        <v>0.0</v>
      </c>
      <c r="M14" s="42">
        <v>0.0</v>
      </c>
      <c r="N14" s="42">
        <v>0.08</v>
      </c>
      <c r="O14" s="42">
        <v>204000.0</v>
      </c>
      <c r="P14" s="42">
        <v>0.095</v>
      </c>
      <c r="Q14" s="42" t="s">
        <v>356</v>
      </c>
      <c r="R14" s="42" t="s">
        <v>393</v>
      </c>
    </row>
    <row r="15">
      <c r="A15" s="42" t="s">
        <v>394</v>
      </c>
      <c r="B15" s="42" t="s">
        <v>395</v>
      </c>
      <c r="C15" s="42" t="s">
        <v>95</v>
      </c>
      <c r="D15" s="43">
        <v>22818.0</v>
      </c>
      <c r="E15" s="42" t="s">
        <v>396</v>
      </c>
      <c r="F15" s="42">
        <v>650000.0</v>
      </c>
      <c r="G15" s="42">
        <v>620000.0</v>
      </c>
      <c r="H15" s="42">
        <v>0.31</v>
      </c>
      <c r="I15" s="42">
        <v>192200.0</v>
      </c>
      <c r="J15" s="42">
        <v>0.54</v>
      </c>
      <c r="K15" s="42">
        <v>334800.0</v>
      </c>
      <c r="L15" s="42">
        <v>0.0</v>
      </c>
      <c r="M15" s="42">
        <v>0.0</v>
      </c>
      <c r="N15" s="42">
        <v>0.15</v>
      </c>
      <c r="O15" s="42">
        <v>93000.0</v>
      </c>
      <c r="P15" s="42">
        <v>-0.04</v>
      </c>
      <c r="Q15" s="42" t="s">
        <v>353</v>
      </c>
      <c r="R15" s="42" t="s">
        <v>397</v>
      </c>
    </row>
    <row r="16">
      <c r="A16" s="42" t="s">
        <v>398</v>
      </c>
      <c r="B16" s="42" t="s">
        <v>399</v>
      </c>
      <c r="C16" s="42" t="s">
        <v>95</v>
      </c>
      <c r="D16" s="43">
        <v>23629.0</v>
      </c>
      <c r="E16" s="42" t="s">
        <v>400</v>
      </c>
      <c r="F16" s="42">
        <v>3500000.0</v>
      </c>
      <c r="G16" s="42">
        <v>3300000.0</v>
      </c>
      <c r="H16" s="42">
        <v>0.21</v>
      </c>
      <c r="I16" s="42">
        <v>693000.0</v>
      </c>
      <c r="J16" s="42">
        <v>0.64</v>
      </c>
      <c r="K16" s="42">
        <v>2112000.0</v>
      </c>
      <c r="L16" s="42">
        <v>0.0</v>
      </c>
      <c r="M16" s="42">
        <v>0.0</v>
      </c>
      <c r="N16" s="42">
        <v>0.15</v>
      </c>
      <c r="O16" s="42">
        <v>495000.0</v>
      </c>
      <c r="P16" s="42">
        <v>-0.09</v>
      </c>
      <c r="Q16" s="42" t="s">
        <v>356</v>
      </c>
      <c r="R16" s="42" t="s">
        <v>401</v>
      </c>
    </row>
    <row r="17">
      <c r="A17" s="42" t="s">
        <v>402</v>
      </c>
      <c r="B17" s="42" t="s">
        <v>403</v>
      </c>
      <c r="C17" s="42" t="s">
        <v>77</v>
      </c>
      <c r="D17" s="43">
        <v>29355.0</v>
      </c>
      <c r="E17" s="42" t="s">
        <v>404</v>
      </c>
      <c r="F17" s="42">
        <v>500000.0</v>
      </c>
      <c r="G17" s="42">
        <v>580000.0</v>
      </c>
      <c r="H17" s="42">
        <v>0.55</v>
      </c>
      <c r="I17" s="42">
        <v>319000.0</v>
      </c>
      <c r="J17" s="42">
        <v>0.4</v>
      </c>
      <c r="K17" s="42">
        <v>232000.0</v>
      </c>
      <c r="L17" s="42">
        <v>0.0</v>
      </c>
      <c r="M17" s="42">
        <v>0.0</v>
      </c>
      <c r="N17" s="42">
        <v>0.05</v>
      </c>
      <c r="O17" s="42">
        <v>29000.0</v>
      </c>
      <c r="P17" s="42">
        <v>0.0</v>
      </c>
      <c r="Q17" s="42" t="s">
        <v>350</v>
      </c>
      <c r="R17" s="42" t="s">
        <v>405</v>
      </c>
    </row>
    <row r="18">
      <c r="A18" s="42" t="s">
        <v>406</v>
      </c>
      <c r="B18" s="42" t="s">
        <v>80</v>
      </c>
      <c r="C18" s="42" t="s">
        <v>77</v>
      </c>
      <c r="D18" s="44">
        <v>31342.0</v>
      </c>
      <c r="E18" s="42" t="s">
        <v>201</v>
      </c>
      <c r="F18" s="42">
        <v>250000.0</v>
      </c>
      <c r="G18" s="42">
        <v>290000.0</v>
      </c>
      <c r="H18" s="42">
        <v>0.61</v>
      </c>
      <c r="I18" s="42">
        <v>176900.0</v>
      </c>
      <c r="J18" s="42">
        <v>0.34</v>
      </c>
      <c r="K18" s="42">
        <v>98600.0</v>
      </c>
      <c r="L18" s="42">
        <v>0.0</v>
      </c>
      <c r="M18" s="42">
        <v>0.0</v>
      </c>
      <c r="N18" s="42">
        <v>0.05</v>
      </c>
      <c r="O18" s="42">
        <v>14500.0</v>
      </c>
      <c r="P18" s="42">
        <v>0.06</v>
      </c>
      <c r="Q18" s="42" t="s">
        <v>353</v>
      </c>
      <c r="R18" s="42" t="s">
        <v>407</v>
      </c>
    </row>
    <row r="19">
      <c r="A19" s="42" t="s">
        <v>408</v>
      </c>
      <c r="B19" s="42" t="s">
        <v>81</v>
      </c>
      <c r="C19" s="42" t="s">
        <v>77</v>
      </c>
      <c r="D19" s="43">
        <v>27097.0</v>
      </c>
      <c r="E19" s="42" t="s">
        <v>262</v>
      </c>
      <c r="F19" s="42">
        <v>1100000.0</v>
      </c>
      <c r="G19" s="42">
        <v>1250000.0</v>
      </c>
      <c r="H19" s="42">
        <v>0.665</v>
      </c>
      <c r="I19" s="42">
        <v>831250.0</v>
      </c>
      <c r="J19" s="42">
        <v>0.3</v>
      </c>
      <c r="K19" s="42">
        <v>375000.0</v>
      </c>
      <c r="L19" s="42">
        <v>0.0</v>
      </c>
      <c r="M19" s="42">
        <v>0.0</v>
      </c>
      <c r="N19" s="42">
        <v>0.035</v>
      </c>
      <c r="O19" s="42">
        <v>43750.0</v>
      </c>
      <c r="P19" s="42">
        <v>0.115</v>
      </c>
      <c r="Q19" s="42" t="s">
        <v>356</v>
      </c>
      <c r="R19" s="42" t="s">
        <v>409</v>
      </c>
    </row>
    <row r="20">
      <c r="A20" s="42" t="s">
        <v>410</v>
      </c>
      <c r="B20" s="42" t="s">
        <v>411</v>
      </c>
      <c r="C20" s="42" t="s">
        <v>77</v>
      </c>
      <c r="D20" s="43">
        <v>25538.0</v>
      </c>
      <c r="E20" s="42" t="s">
        <v>412</v>
      </c>
      <c r="F20" s="42">
        <v>800000.0</v>
      </c>
      <c r="G20" s="42">
        <v>760000.0</v>
      </c>
      <c r="H20" s="42">
        <v>0.445</v>
      </c>
      <c r="I20" s="42">
        <v>338200.0</v>
      </c>
      <c r="J20" s="42">
        <v>0.5</v>
      </c>
      <c r="K20" s="42">
        <v>380000.0</v>
      </c>
      <c r="L20" s="42">
        <v>0.0</v>
      </c>
      <c r="M20" s="42">
        <v>0.0</v>
      </c>
      <c r="N20" s="42">
        <v>0.055</v>
      </c>
      <c r="O20" s="42">
        <v>41800.0</v>
      </c>
      <c r="P20" s="42">
        <v>-0.055</v>
      </c>
      <c r="Q20" s="42" t="s">
        <v>353</v>
      </c>
      <c r="R20" s="42" t="s">
        <v>413</v>
      </c>
    </row>
    <row r="21">
      <c r="A21" s="42" t="s">
        <v>414</v>
      </c>
      <c r="B21" s="42" t="s">
        <v>415</v>
      </c>
      <c r="C21" s="42" t="s">
        <v>77</v>
      </c>
      <c r="D21" s="43">
        <v>32915.0</v>
      </c>
      <c r="E21" s="42" t="s">
        <v>416</v>
      </c>
      <c r="F21" s="42">
        <v>1500000.0</v>
      </c>
      <c r="G21" s="42">
        <v>165000.0</v>
      </c>
      <c r="H21" s="42">
        <v>0.38</v>
      </c>
      <c r="I21" s="42">
        <v>62700.0</v>
      </c>
      <c r="J21" s="42">
        <v>0.55</v>
      </c>
      <c r="K21" s="42">
        <v>90750.0</v>
      </c>
      <c r="L21" s="42">
        <v>0.0</v>
      </c>
      <c r="M21" s="42">
        <v>0.0</v>
      </c>
      <c r="N21" s="42">
        <v>0.07</v>
      </c>
      <c r="O21" s="42">
        <v>11550.0</v>
      </c>
      <c r="P21" s="42">
        <v>-0.12</v>
      </c>
      <c r="Q21" s="42" t="s">
        <v>356</v>
      </c>
      <c r="R21" s="42" t="s">
        <v>417</v>
      </c>
    </row>
    <row r="22">
      <c r="A22" s="42" t="s">
        <v>418</v>
      </c>
      <c r="B22" s="42" t="s">
        <v>102</v>
      </c>
      <c r="C22" s="42" t="s">
        <v>101</v>
      </c>
      <c r="D22" s="44">
        <v>26614.0</v>
      </c>
      <c r="E22" s="42" t="s">
        <v>265</v>
      </c>
      <c r="F22" s="42">
        <v>8500000.0</v>
      </c>
      <c r="G22" s="42">
        <v>9400000.0</v>
      </c>
      <c r="H22" s="42">
        <v>0.45</v>
      </c>
      <c r="I22" s="42">
        <v>4230000.0</v>
      </c>
      <c r="J22" s="42">
        <v>0.25</v>
      </c>
      <c r="K22" s="42">
        <v>2350000.0</v>
      </c>
      <c r="L22" s="42">
        <v>0.25</v>
      </c>
      <c r="M22" s="42">
        <v>2350000.0</v>
      </c>
      <c r="N22" s="42">
        <v>0.05</v>
      </c>
      <c r="O22" s="42">
        <v>470000.0</v>
      </c>
      <c r="P22" s="42">
        <v>0.0</v>
      </c>
      <c r="Q22" s="42" t="s">
        <v>350</v>
      </c>
      <c r="R22" s="42" t="s">
        <v>419</v>
      </c>
    </row>
    <row r="23">
      <c r="A23" s="42" t="s">
        <v>420</v>
      </c>
      <c r="B23" s="42" t="s">
        <v>421</v>
      </c>
      <c r="C23" s="42" t="s">
        <v>101</v>
      </c>
      <c r="D23" s="43">
        <v>23862.0</v>
      </c>
      <c r="E23" s="42" t="s">
        <v>422</v>
      </c>
      <c r="F23" s="42">
        <v>1.5E7</v>
      </c>
      <c r="G23" s="42">
        <v>1.68E7</v>
      </c>
      <c r="H23" s="42">
        <v>0.52</v>
      </c>
      <c r="I23" s="42">
        <v>8736000.0</v>
      </c>
      <c r="J23" s="42">
        <v>0.15</v>
      </c>
      <c r="K23" s="42">
        <v>2520000.0</v>
      </c>
      <c r="L23" s="42">
        <v>0.31</v>
      </c>
      <c r="M23" s="42">
        <v>5208000.0</v>
      </c>
      <c r="N23" s="42">
        <v>0.02</v>
      </c>
      <c r="O23" s="42">
        <v>336000.0</v>
      </c>
      <c r="P23" s="42">
        <v>0.06</v>
      </c>
      <c r="Q23" s="42" t="s">
        <v>353</v>
      </c>
      <c r="R23" s="42" t="s">
        <v>423</v>
      </c>
    </row>
    <row r="24">
      <c r="A24" s="42" t="s">
        <v>424</v>
      </c>
      <c r="B24" s="42" t="s">
        <v>425</v>
      </c>
      <c r="C24" s="42" t="s">
        <v>101</v>
      </c>
      <c r="D24" s="43">
        <v>28905.0</v>
      </c>
      <c r="E24" s="42" t="s">
        <v>426</v>
      </c>
      <c r="F24" s="42">
        <v>4.2E7</v>
      </c>
      <c r="G24" s="42">
        <v>4.85E7</v>
      </c>
      <c r="H24" s="42">
        <v>0.61</v>
      </c>
      <c r="I24" s="42">
        <v>2.9585E7</v>
      </c>
      <c r="J24" s="42">
        <v>0.12</v>
      </c>
      <c r="K24" s="42">
        <v>5820000.0</v>
      </c>
      <c r="L24" s="42">
        <v>0.25</v>
      </c>
      <c r="M24" s="42">
        <v>1.2125E7</v>
      </c>
      <c r="N24" s="42">
        <v>0.02</v>
      </c>
      <c r="O24" s="42">
        <v>970000.0</v>
      </c>
      <c r="P24" s="42">
        <v>0.13</v>
      </c>
      <c r="Q24" s="42" t="s">
        <v>356</v>
      </c>
      <c r="R24" s="42" t="s">
        <v>427</v>
      </c>
    </row>
    <row r="25">
      <c r="A25" s="42" t="s">
        <v>428</v>
      </c>
      <c r="B25" s="42" t="s">
        <v>429</v>
      </c>
      <c r="C25" s="42" t="s">
        <v>101</v>
      </c>
      <c r="D25" s="43">
        <v>29822.0</v>
      </c>
      <c r="E25" s="42" t="s">
        <v>430</v>
      </c>
      <c r="F25" s="42">
        <v>6000000.0</v>
      </c>
      <c r="G25" s="42">
        <v>5800000.0</v>
      </c>
      <c r="H25" s="42">
        <v>0.38</v>
      </c>
      <c r="I25" s="42">
        <v>2204000.0</v>
      </c>
      <c r="J25" s="42">
        <v>0.33</v>
      </c>
      <c r="K25" s="42">
        <v>1914000.0</v>
      </c>
      <c r="L25" s="42">
        <v>0.22</v>
      </c>
      <c r="M25" s="42">
        <v>1276000.0</v>
      </c>
      <c r="N25" s="42">
        <v>0.07</v>
      </c>
      <c r="O25" s="42">
        <v>406000.0</v>
      </c>
      <c r="P25" s="42">
        <v>-0.07</v>
      </c>
      <c r="Q25" s="42" t="s">
        <v>353</v>
      </c>
      <c r="R25" s="42" t="s">
        <v>431</v>
      </c>
    </row>
    <row r="26">
      <c r="A26" s="42" t="s">
        <v>432</v>
      </c>
      <c r="B26" s="42" t="s">
        <v>433</v>
      </c>
      <c r="C26" s="42" t="s">
        <v>101</v>
      </c>
      <c r="D26" s="43">
        <v>25717.0</v>
      </c>
      <c r="E26" s="42" t="s">
        <v>434</v>
      </c>
      <c r="F26" s="42">
        <v>2.5E7</v>
      </c>
      <c r="G26" s="42">
        <v>2.35E7</v>
      </c>
      <c r="H26" s="42">
        <v>0.3</v>
      </c>
      <c r="I26" s="42">
        <v>7050000.0</v>
      </c>
      <c r="J26" s="42">
        <v>0.4</v>
      </c>
      <c r="K26" s="42">
        <v>9400000.0</v>
      </c>
      <c r="L26" s="42">
        <v>0.2</v>
      </c>
      <c r="M26" s="42">
        <v>4700000.0</v>
      </c>
      <c r="N26" s="42">
        <v>0.1</v>
      </c>
      <c r="O26" s="42">
        <v>2350000.0</v>
      </c>
      <c r="P26" s="42">
        <v>-0.14</v>
      </c>
      <c r="Q26" s="42" t="s">
        <v>356</v>
      </c>
      <c r="R26" s="42" t="s">
        <v>435</v>
      </c>
    </row>
    <row r="27">
      <c r="A27" s="42" t="s">
        <v>436</v>
      </c>
      <c r="B27" s="42" t="s">
        <v>437</v>
      </c>
      <c r="C27" s="42" t="s">
        <v>83</v>
      </c>
      <c r="D27" s="43">
        <v>34947.0</v>
      </c>
      <c r="E27" s="42" t="s">
        <v>438</v>
      </c>
      <c r="F27" s="42">
        <v>120000.0</v>
      </c>
      <c r="G27" s="42">
        <v>155000.0</v>
      </c>
      <c r="H27" s="42">
        <v>0.8</v>
      </c>
      <c r="I27" s="42">
        <v>124000.0</v>
      </c>
      <c r="J27" s="42">
        <v>0.0</v>
      </c>
      <c r="K27" s="42">
        <v>0.0</v>
      </c>
      <c r="L27" s="42">
        <v>0.15</v>
      </c>
      <c r="M27" s="42">
        <v>23250.0</v>
      </c>
      <c r="N27" s="42">
        <v>0.05</v>
      </c>
      <c r="O27" s="42">
        <v>7750.0</v>
      </c>
      <c r="P27" s="42">
        <v>0.0</v>
      </c>
      <c r="Q27" s="42" t="s">
        <v>350</v>
      </c>
      <c r="R27" s="42" t="s">
        <v>439</v>
      </c>
    </row>
    <row r="28">
      <c r="A28" s="42" t="s">
        <v>440</v>
      </c>
      <c r="B28" s="42" t="s">
        <v>85</v>
      </c>
      <c r="C28" s="42" t="s">
        <v>83</v>
      </c>
      <c r="D28" s="43">
        <v>32214.0</v>
      </c>
      <c r="E28" s="42" t="s">
        <v>209</v>
      </c>
      <c r="F28" s="42">
        <v>450000.0</v>
      </c>
      <c r="G28" s="42">
        <v>530000.0</v>
      </c>
      <c r="H28" s="42">
        <v>0.875</v>
      </c>
      <c r="I28" s="42">
        <v>463750.0</v>
      </c>
      <c r="J28" s="42">
        <v>0.1</v>
      </c>
      <c r="K28" s="42">
        <v>53000.0</v>
      </c>
      <c r="L28" s="42">
        <v>0.0</v>
      </c>
      <c r="M28" s="42">
        <v>0.0</v>
      </c>
      <c r="N28" s="42">
        <v>0.025</v>
      </c>
      <c r="O28" s="42">
        <v>13250.0</v>
      </c>
      <c r="P28" s="42">
        <v>0.075</v>
      </c>
      <c r="Q28" s="42" t="s">
        <v>353</v>
      </c>
      <c r="R28" s="42" t="s">
        <v>441</v>
      </c>
    </row>
    <row r="29">
      <c r="A29" s="42" t="s">
        <v>442</v>
      </c>
      <c r="B29" s="42" t="s">
        <v>87</v>
      </c>
      <c r="C29" s="42" t="s">
        <v>83</v>
      </c>
      <c r="D29" s="44">
        <v>28056.0</v>
      </c>
      <c r="E29" s="42" t="s">
        <v>264</v>
      </c>
      <c r="F29" s="42">
        <v>2100000.0</v>
      </c>
      <c r="G29" s="42">
        <v>2600000.0</v>
      </c>
      <c r="H29" s="42">
        <v>0.93</v>
      </c>
      <c r="I29" s="42">
        <v>2418000.0</v>
      </c>
      <c r="J29" s="42">
        <v>0.05</v>
      </c>
      <c r="K29" s="42">
        <v>130000.0</v>
      </c>
      <c r="L29" s="42">
        <v>0.0</v>
      </c>
      <c r="M29" s="42">
        <v>0.0</v>
      </c>
      <c r="N29" s="42">
        <v>0.02</v>
      </c>
      <c r="O29" s="42">
        <v>52000.0</v>
      </c>
      <c r="P29" s="42">
        <v>0.16</v>
      </c>
      <c r="Q29" s="42" t="s">
        <v>356</v>
      </c>
      <c r="R29" s="42" t="s">
        <v>443</v>
      </c>
    </row>
    <row r="30">
      <c r="A30" s="42" t="s">
        <v>444</v>
      </c>
      <c r="B30" s="42" t="s">
        <v>445</v>
      </c>
      <c r="C30" s="42" t="s">
        <v>83</v>
      </c>
      <c r="D30" s="43">
        <v>33426.0</v>
      </c>
      <c r="E30" s="42" t="s">
        <v>446</v>
      </c>
      <c r="F30" s="42">
        <v>350000.0</v>
      </c>
      <c r="G30" s="42">
        <v>320000.0</v>
      </c>
      <c r="H30" s="42">
        <v>0.72</v>
      </c>
      <c r="I30" s="42">
        <v>2304000.0</v>
      </c>
      <c r="J30" s="42">
        <v>0.2</v>
      </c>
      <c r="K30" s="42">
        <v>64000.0</v>
      </c>
      <c r="L30" s="42">
        <v>0.0</v>
      </c>
      <c r="M30" s="42">
        <v>0.0</v>
      </c>
      <c r="N30" s="42">
        <v>0.08</v>
      </c>
      <c r="O30" s="42">
        <v>25600.0</v>
      </c>
      <c r="P30" s="42">
        <v>-0.08</v>
      </c>
      <c r="Q30" s="42" t="s">
        <v>353</v>
      </c>
      <c r="R30" s="42" t="s">
        <v>447</v>
      </c>
    </row>
    <row r="31">
      <c r="A31" s="42" t="s">
        <v>448</v>
      </c>
      <c r="B31" s="42" t="s">
        <v>449</v>
      </c>
      <c r="C31" s="42" t="s">
        <v>83</v>
      </c>
      <c r="D31" s="43">
        <v>32251.0</v>
      </c>
      <c r="E31" s="42" t="s">
        <v>450</v>
      </c>
      <c r="F31" s="42">
        <v>800000.0</v>
      </c>
      <c r="G31" s="42">
        <v>710000.0</v>
      </c>
      <c r="H31" s="42">
        <v>0.63</v>
      </c>
      <c r="I31" s="42">
        <v>447300.0</v>
      </c>
      <c r="J31" s="42">
        <v>0.25</v>
      </c>
      <c r="K31" s="42">
        <v>177500.0</v>
      </c>
      <c r="L31" s="42">
        <v>0.0</v>
      </c>
      <c r="M31" s="42">
        <v>0.0</v>
      </c>
      <c r="N31" s="42">
        <v>0.12</v>
      </c>
      <c r="O31" s="42">
        <v>85200.0</v>
      </c>
      <c r="P31" s="42">
        <v>-0.17</v>
      </c>
      <c r="Q31" s="42" t="s">
        <v>356</v>
      </c>
      <c r="R31" s="42" t="s">
        <v>451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45" t="s">
        <v>60</v>
      </c>
      <c r="B1" s="45" t="s">
        <v>61</v>
      </c>
      <c r="C1" s="45" t="s">
        <v>156</v>
      </c>
      <c r="D1" s="45" t="s">
        <v>157</v>
      </c>
      <c r="E1" s="45" t="s">
        <v>270</v>
      </c>
      <c r="F1" s="45" t="s">
        <v>452</v>
      </c>
      <c r="G1" s="45" t="s">
        <v>252</v>
      </c>
      <c r="H1" s="45" t="s">
        <v>253</v>
      </c>
      <c r="I1" s="45" t="s">
        <v>254</v>
      </c>
      <c r="J1" s="46" t="s">
        <v>190</v>
      </c>
      <c r="K1" s="45" t="s">
        <v>116</v>
      </c>
      <c r="L1" s="45" t="s">
        <v>111</v>
      </c>
      <c r="M1" s="45" t="s">
        <v>112</v>
      </c>
      <c r="N1" s="45" t="s">
        <v>160</v>
      </c>
    </row>
    <row r="2">
      <c r="A2" s="45" t="s">
        <v>453</v>
      </c>
      <c r="B2" s="45" t="s">
        <v>71</v>
      </c>
      <c r="C2" s="47">
        <v>21287.0</v>
      </c>
      <c r="D2" s="45" t="s">
        <v>454</v>
      </c>
      <c r="E2" s="48">
        <v>250000.0</v>
      </c>
      <c r="F2" s="48">
        <v>268500.0</v>
      </c>
      <c r="G2" s="49">
        <v>0.18</v>
      </c>
      <c r="H2" s="49">
        <v>0.65</v>
      </c>
      <c r="I2" s="49">
        <v>0.17</v>
      </c>
      <c r="J2" s="49">
        <v>0.0842</v>
      </c>
      <c r="K2" s="46" t="s">
        <v>134</v>
      </c>
      <c r="L2" s="49">
        <v>0.04</v>
      </c>
      <c r="M2" s="49">
        <v>0.08</v>
      </c>
      <c r="N2" s="45" t="s">
        <v>455</v>
      </c>
    </row>
    <row r="3">
      <c r="A3" s="45" t="s">
        <v>72</v>
      </c>
      <c r="B3" s="45" t="s">
        <v>71</v>
      </c>
      <c r="C3" s="47">
        <v>22919.0</v>
      </c>
      <c r="D3" s="45" t="s">
        <v>183</v>
      </c>
      <c r="E3" s="48">
        <v>180000.0</v>
      </c>
      <c r="F3" s="48">
        <v>172400.0</v>
      </c>
      <c r="G3" s="49">
        <v>0.2</v>
      </c>
      <c r="H3" s="49">
        <v>0.6</v>
      </c>
      <c r="I3" s="49">
        <v>0.2</v>
      </c>
      <c r="J3" s="49">
        <v>0.0217</v>
      </c>
      <c r="K3" s="45" t="s">
        <v>124</v>
      </c>
      <c r="L3" s="49">
        <v>0.03</v>
      </c>
      <c r="M3" s="49">
        <v>0.07</v>
      </c>
      <c r="N3" s="45" t="s">
        <v>456</v>
      </c>
    </row>
    <row r="4">
      <c r="A4" s="45" t="s">
        <v>457</v>
      </c>
      <c r="B4" s="45" t="s">
        <v>71</v>
      </c>
      <c r="C4" s="47">
        <v>20110.0</v>
      </c>
      <c r="D4" s="45" t="s">
        <v>458</v>
      </c>
      <c r="E4" s="48">
        <v>320000.0</v>
      </c>
      <c r="F4" s="48">
        <v>335200.0</v>
      </c>
      <c r="G4" s="49">
        <v>0.15</v>
      </c>
      <c r="H4" s="49">
        <v>0.7</v>
      </c>
      <c r="I4" s="49">
        <v>0.15</v>
      </c>
      <c r="J4" s="49">
        <v>0.1358</v>
      </c>
      <c r="K4" s="46" t="s">
        <v>143</v>
      </c>
      <c r="L4" s="49">
        <v>0.04</v>
      </c>
      <c r="M4" s="49">
        <v>0.08</v>
      </c>
      <c r="N4" s="45" t="s">
        <v>278</v>
      </c>
    </row>
    <row r="5">
      <c r="A5" s="45" t="s">
        <v>459</v>
      </c>
      <c r="B5" s="45" t="s">
        <v>71</v>
      </c>
      <c r="C5" s="47">
        <v>22111.0</v>
      </c>
      <c r="D5" s="45" t="s">
        <v>460</v>
      </c>
      <c r="E5" s="48">
        <v>210000.0</v>
      </c>
      <c r="F5" s="48">
        <v>205600.0</v>
      </c>
      <c r="G5" s="49">
        <v>0.19</v>
      </c>
      <c r="H5" s="49">
        <v>0.61</v>
      </c>
      <c r="I5" s="49">
        <v>0.2</v>
      </c>
      <c r="J5" s="49">
        <v>0.0591</v>
      </c>
      <c r="K5" s="46" t="s">
        <v>134</v>
      </c>
      <c r="L5" s="49">
        <v>0.03</v>
      </c>
      <c r="M5" s="49">
        <v>0.07</v>
      </c>
      <c r="N5" s="45" t="s">
        <v>461</v>
      </c>
    </row>
    <row r="6">
      <c r="A6" s="45" t="s">
        <v>359</v>
      </c>
      <c r="B6" s="45" t="s">
        <v>71</v>
      </c>
      <c r="C6" s="47">
        <v>19665.0</v>
      </c>
      <c r="D6" s="45" t="s">
        <v>462</v>
      </c>
      <c r="E6" s="48">
        <v>400000.0</v>
      </c>
      <c r="F6" s="48">
        <v>412300.0</v>
      </c>
      <c r="G6" s="49">
        <v>0.17</v>
      </c>
      <c r="H6" s="49">
        <v>0.68</v>
      </c>
      <c r="I6" s="49">
        <v>0.15</v>
      </c>
      <c r="J6" s="50">
        <v>0.02</v>
      </c>
      <c r="K6" s="45" t="s">
        <v>124</v>
      </c>
      <c r="L6" s="49">
        <v>0.04</v>
      </c>
      <c r="M6" s="49">
        <v>0.08</v>
      </c>
      <c r="N6" s="45" t="s">
        <v>326</v>
      </c>
    </row>
    <row r="7">
      <c r="A7" s="45" t="s">
        <v>86</v>
      </c>
      <c r="B7" s="45" t="s">
        <v>77</v>
      </c>
      <c r="C7" s="47">
        <v>31124.0</v>
      </c>
      <c r="D7" s="45" t="s">
        <v>463</v>
      </c>
      <c r="E7" s="48">
        <v>150000.0</v>
      </c>
      <c r="F7" s="48">
        <v>168200.0</v>
      </c>
      <c r="G7" s="49">
        <v>0.55</v>
      </c>
      <c r="H7" s="49">
        <v>0.35</v>
      </c>
      <c r="I7" s="49">
        <v>0.1</v>
      </c>
      <c r="J7" s="49">
        <v>0.0136</v>
      </c>
      <c r="K7" s="46" t="s">
        <v>124</v>
      </c>
      <c r="L7" s="49">
        <v>0.06</v>
      </c>
      <c r="M7" s="49">
        <v>0.12</v>
      </c>
      <c r="N7" s="45" t="s">
        <v>464</v>
      </c>
    </row>
    <row r="8">
      <c r="A8" s="45" t="s">
        <v>465</v>
      </c>
      <c r="B8" s="45" t="s">
        <v>77</v>
      </c>
      <c r="C8" s="47">
        <v>28650.0</v>
      </c>
      <c r="D8" s="45" t="s">
        <v>466</v>
      </c>
      <c r="E8" s="48">
        <v>220000.0</v>
      </c>
      <c r="F8" s="48">
        <v>245900.0</v>
      </c>
      <c r="G8" s="49">
        <v>0.6</v>
      </c>
      <c r="H8" s="49">
        <v>0.3</v>
      </c>
      <c r="I8" s="49">
        <v>0.1</v>
      </c>
      <c r="J8" s="49">
        <v>0.1472</v>
      </c>
      <c r="K8" s="46" t="s">
        <v>143</v>
      </c>
      <c r="L8" s="49">
        <v>0.05</v>
      </c>
      <c r="M8" s="49">
        <v>0.1</v>
      </c>
      <c r="N8" s="45" t="s">
        <v>467</v>
      </c>
    </row>
    <row r="9">
      <c r="A9" s="45" t="s">
        <v>415</v>
      </c>
      <c r="B9" s="45" t="s">
        <v>77</v>
      </c>
      <c r="C9" s="47">
        <v>33208.0</v>
      </c>
      <c r="D9" s="45" t="s">
        <v>468</v>
      </c>
      <c r="E9" s="48">
        <v>98000.0</v>
      </c>
      <c r="F9" s="48">
        <v>120500.0</v>
      </c>
      <c r="G9" s="49">
        <v>0.52</v>
      </c>
      <c r="H9" s="49">
        <v>0.38</v>
      </c>
      <c r="I9" s="49">
        <v>0.1</v>
      </c>
      <c r="J9" s="49">
        <v>0.0783</v>
      </c>
      <c r="K9" s="45" t="s">
        <v>134</v>
      </c>
      <c r="L9" s="49">
        <v>0.06</v>
      </c>
      <c r="M9" s="49">
        <v>0.12</v>
      </c>
      <c r="N9" s="45" t="s">
        <v>300</v>
      </c>
    </row>
    <row r="10">
      <c r="A10" s="45" t="s">
        <v>78</v>
      </c>
      <c r="B10" s="45" t="s">
        <v>77</v>
      </c>
      <c r="C10" s="47">
        <v>30007.0</v>
      </c>
      <c r="D10" s="45" t="s">
        <v>196</v>
      </c>
      <c r="E10" s="48">
        <v>175000.0</v>
      </c>
      <c r="F10" s="48">
        <v>190300.0</v>
      </c>
      <c r="G10" s="49">
        <v>0.58</v>
      </c>
      <c r="H10" s="49">
        <v>0.32</v>
      </c>
      <c r="I10" s="49">
        <v>0.1</v>
      </c>
      <c r="J10" s="49">
        <v>0.0345</v>
      </c>
      <c r="K10" s="46" t="s">
        <v>124</v>
      </c>
      <c r="L10" s="49">
        <v>0.05</v>
      </c>
      <c r="M10" s="49">
        <v>0.1</v>
      </c>
      <c r="N10" s="45" t="s">
        <v>289</v>
      </c>
    </row>
    <row r="11">
      <c r="A11" s="45" t="s">
        <v>469</v>
      </c>
      <c r="B11" s="45" t="s">
        <v>77</v>
      </c>
      <c r="C11" s="47">
        <v>32368.0</v>
      </c>
      <c r="D11" s="45" t="s">
        <v>470</v>
      </c>
      <c r="E11" s="48">
        <v>130000.0</v>
      </c>
      <c r="F11" s="48">
        <v>149800.0</v>
      </c>
      <c r="G11" s="49">
        <v>0.54</v>
      </c>
      <c r="H11" s="49">
        <v>0.36</v>
      </c>
      <c r="I11" s="49">
        <v>0.1</v>
      </c>
      <c r="J11" s="49">
        <v>0.1167</v>
      </c>
      <c r="K11" s="46" t="s">
        <v>143</v>
      </c>
      <c r="L11" s="49">
        <v>0.06</v>
      </c>
      <c r="M11" s="49">
        <v>0.12</v>
      </c>
      <c r="N11" s="45" t="s">
        <v>471</v>
      </c>
    </row>
    <row r="12">
      <c r="A12" s="45" t="s">
        <v>472</v>
      </c>
      <c r="B12" s="45" t="s">
        <v>83</v>
      </c>
      <c r="C12" s="47">
        <v>34839.0</v>
      </c>
      <c r="D12" s="45" t="s">
        <v>473</v>
      </c>
      <c r="E12" s="48">
        <v>80000.0</v>
      </c>
      <c r="F12" s="48">
        <v>124000.0</v>
      </c>
      <c r="G12" s="49">
        <v>0.85</v>
      </c>
      <c r="H12" s="49">
        <v>0.1</v>
      </c>
      <c r="I12" s="49">
        <v>0.05</v>
      </c>
      <c r="J12" s="49">
        <v>0.0628</v>
      </c>
      <c r="K12" s="46" t="s">
        <v>124</v>
      </c>
      <c r="L12" s="49">
        <v>0.08</v>
      </c>
      <c r="M12" s="49">
        <v>0.15</v>
      </c>
      <c r="N12" s="45" t="s">
        <v>474</v>
      </c>
    </row>
    <row r="13">
      <c r="A13" s="45" t="s">
        <v>475</v>
      </c>
      <c r="B13" s="45" t="s">
        <v>83</v>
      </c>
      <c r="C13" s="47">
        <v>33919.0</v>
      </c>
      <c r="D13" s="45" t="s">
        <v>476</v>
      </c>
      <c r="E13" s="48">
        <v>120000.0</v>
      </c>
      <c r="F13" s="48">
        <v>182300.0</v>
      </c>
      <c r="G13" s="49">
        <v>0.8</v>
      </c>
      <c r="H13" s="49">
        <v>0.15</v>
      </c>
      <c r="I13" s="49">
        <v>0.05</v>
      </c>
      <c r="J13" s="49">
        <v>0.0094</v>
      </c>
      <c r="K13" s="46" t="s">
        <v>124</v>
      </c>
      <c r="L13" s="49">
        <v>0.07</v>
      </c>
      <c r="M13" s="49">
        <v>0.15</v>
      </c>
      <c r="N13" s="45" t="s">
        <v>304</v>
      </c>
    </row>
    <row r="14">
      <c r="A14" s="45" t="s">
        <v>477</v>
      </c>
      <c r="B14" s="45" t="s">
        <v>83</v>
      </c>
      <c r="C14" s="47">
        <v>35983.0</v>
      </c>
      <c r="D14" s="45" t="s">
        <v>478</v>
      </c>
      <c r="E14" s="48">
        <v>60000.0</v>
      </c>
      <c r="F14" s="48">
        <v>91000.0</v>
      </c>
      <c r="G14" s="49">
        <v>0.82</v>
      </c>
      <c r="H14" s="49">
        <v>0.13</v>
      </c>
      <c r="I14" s="49">
        <v>0.05</v>
      </c>
      <c r="J14" s="49">
        <v>0.1281</v>
      </c>
      <c r="K14" s="45" t="s">
        <v>143</v>
      </c>
      <c r="L14" s="49">
        <v>0.08</v>
      </c>
      <c r="M14" s="49">
        <v>0.15</v>
      </c>
      <c r="N14" s="45" t="s">
        <v>479</v>
      </c>
    </row>
    <row r="15">
      <c r="A15" s="45" t="s">
        <v>480</v>
      </c>
      <c r="B15" s="45" t="s">
        <v>83</v>
      </c>
      <c r="C15" s="47">
        <v>34088.0</v>
      </c>
      <c r="D15" s="45" t="s">
        <v>481</v>
      </c>
      <c r="E15" s="48">
        <v>140000.0</v>
      </c>
      <c r="F15" s="48">
        <v>205400.0</v>
      </c>
      <c r="G15" s="49">
        <v>0.78</v>
      </c>
      <c r="H15" s="49">
        <v>0.17</v>
      </c>
      <c r="I15" s="49">
        <v>0.05</v>
      </c>
      <c r="J15" s="50">
        <v>0.08</v>
      </c>
      <c r="K15" s="46" t="s">
        <v>134</v>
      </c>
      <c r="L15" s="49">
        <v>0.07</v>
      </c>
      <c r="M15" s="49">
        <v>0.15</v>
      </c>
      <c r="N15" s="45" t="s">
        <v>482</v>
      </c>
    </row>
    <row r="16">
      <c r="A16" s="45" t="s">
        <v>483</v>
      </c>
      <c r="B16" s="45" t="s">
        <v>83</v>
      </c>
      <c r="C16" s="47">
        <v>35689.0</v>
      </c>
      <c r="D16" s="45" t="s">
        <v>484</v>
      </c>
      <c r="E16" s="48">
        <v>95000.0</v>
      </c>
      <c r="F16" s="48">
        <v>150600.0</v>
      </c>
      <c r="G16" s="49">
        <v>0.83</v>
      </c>
      <c r="H16" s="49">
        <v>0.12</v>
      </c>
      <c r="I16" s="49">
        <v>0.05</v>
      </c>
      <c r="J16" s="49">
        <v>0.0976</v>
      </c>
      <c r="K16" s="46" t="s">
        <v>134</v>
      </c>
      <c r="L16" s="49">
        <v>0.08</v>
      </c>
      <c r="M16" s="49">
        <v>0.15</v>
      </c>
      <c r="N16" s="45" t="s">
        <v>485</v>
      </c>
    </row>
    <row r="17">
      <c r="A17" s="45" t="s">
        <v>90</v>
      </c>
      <c r="B17" s="45" t="s">
        <v>89</v>
      </c>
      <c r="C17" s="47">
        <v>24020.0</v>
      </c>
      <c r="D17" s="45" t="s">
        <v>218</v>
      </c>
      <c r="E17" s="48">
        <v>300000.0</v>
      </c>
      <c r="F17" s="48">
        <v>315400.0</v>
      </c>
      <c r="G17" s="49">
        <v>0.3</v>
      </c>
      <c r="H17" s="49">
        <v>0.55</v>
      </c>
      <c r="I17" s="49">
        <v>0.15</v>
      </c>
      <c r="J17" s="49">
        <v>0.0289</v>
      </c>
      <c r="K17" s="46" t="s">
        <v>124</v>
      </c>
      <c r="L17" s="49">
        <v>0.05</v>
      </c>
      <c r="M17" s="49">
        <v>0.1</v>
      </c>
      <c r="N17" s="45" t="s">
        <v>311</v>
      </c>
    </row>
    <row r="18">
      <c r="A18" s="45" t="s">
        <v>486</v>
      </c>
      <c r="B18" s="45" t="s">
        <v>89</v>
      </c>
      <c r="C18" s="47">
        <v>24859.0</v>
      </c>
      <c r="D18" s="45" t="s">
        <v>487</v>
      </c>
      <c r="E18" s="48">
        <v>275000.0</v>
      </c>
      <c r="F18" s="48">
        <v>289000.0</v>
      </c>
      <c r="G18" s="49">
        <v>0.25</v>
      </c>
      <c r="H18" s="49">
        <v>0.6</v>
      </c>
      <c r="I18" s="49">
        <v>0.15</v>
      </c>
      <c r="J18" s="49">
        <v>0.1415</v>
      </c>
      <c r="K18" s="46" t="s">
        <v>143</v>
      </c>
      <c r="L18" s="49">
        <v>0.04</v>
      </c>
      <c r="M18" s="49">
        <v>0.08</v>
      </c>
      <c r="N18" s="45" t="s">
        <v>488</v>
      </c>
    </row>
    <row r="19">
      <c r="A19" s="45" t="s">
        <v>489</v>
      </c>
      <c r="B19" s="45" t="s">
        <v>89</v>
      </c>
      <c r="C19" s="47">
        <v>25657.0</v>
      </c>
      <c r="D19" s="45" t="s">
        <v>490</v>
      </c>
      <c r="E19" s="48">
        <v>190000.0</v>
      </c>
      <c r="F19" s="48">
        <v>198500.0</v>
      </c>
      <c r="G19" s="49">
        <v>0.35</v>
      </c>
      <c r="H19" s="49">
        <v>0.5</v>
      </c>
      <c r="I19" s="49">
        <v>0.15</v>
      </c>
      <c r="J19" s="49">
        <v>0.0537</v>
      </c>
      <c r="K19" s="45" t="s">
        <v>134</v>
      </c>
      <c r="L19" s="49">
        <v>0.05</v>
      </c>
      <c r="M19" s="49">
        <v>0.1</v>
      </c>
      <c r="N19" s="45" t="s">
        <v>491</v>
      </c>
    </row>
    <row r="20">
      <c r="A20" s="45" t="s">
        <v>492</v>
      </c>
      <c r="B20" s="45" t="s">
        <v>89</v>
      </c>
      <c r="C20" s="47">
        <v>23362.0</v>
      </c>
      <c r="D20" s="45" t="s">
        <v>493</v>
      </c>
      <c r="E20" s="48">
        <v>340000.0</v>
      </c>
      <c r="F20" s="48">
        <v>360800.0</v>
      </c>
      <c r="G20" s="49">
        <v>0.28</v>
      </c>
      <c r="H20" s="49">
        <v>0.57</v>
      </c>
      <c r="I20" s="49">
        <v>0.15</v>
      </c>
      <c r="J20" s="49">
        <v>0.0894</v>
      </c>
      <c r="K20" s="46" t="s">
        <v>143</v>
      </c>
      <c r="L20" s="49">
        <v>0.04</v>
      </c>
      <c r="M20" s="49">
        <v>0.08</v>
      </c>
      <c r="N20" s="45" t="s">
        <v>494</v>
      </c>
    </row>
    <row r="21">
      <c r="A21" s="45" t="s">
        <v>495</v>
      </c>
      <c r="B21" s="45" t="s">
        <v>89</v>
      </c>
      <c r="C21" s="47">
        <v>24634.0</v>
      </c>
      <c r="D21" s="45" t="s">
        <v>496</v>
      </c>
      <c r="E21" s="48">
        <v>220000.0</v>
      </c>
      <c r="F21" s="48">
        <v>230200.0</v>
      </c>
      <c r="G21" s="49">
        <v>0.32</v>
      </c>
      <c r="H21" s="49">
        <v>0.53</v>
      </c>
      <c r="I21" s="49">
        <v>0.15</v>
      </c>
      <c r="J21" s="49">
        <v>0.0172</v>
      </c>
      <c r="K21" s="46" t="s">
        <v>124</v>
      </c>
      <c r="L21" s="49">
        <v>0.05</v>
      </c>
      <c r="M21" s="49">
        <v>0.1</v>
      </c>
      <c r="N21" s="45" t="s">
        <v>497</v>
      </c>
    </row>
    <row r="22">
      <c r="A22" s="45" t="s">
        <v>498</v>
      </c>
      <c r="B22" s="45" t="s">
        <v>101</v>
      </c>
      <c r="C22" s="47">
        <v>27620.0</v>
      </c>
      <c r="D22" s="45" t="s">
        <v>499</v>
      </c>
      <c r="E22" s="48">
        <v>2500000.0</v>
      </c>
      <c r="F22" s="48">
        <v>2870000.0</v>
      </c>
      <c r="G22" s="49">
        <v>0.45</v>
      </c>
      <c r="H22" s="49">
        <v>0.25</v>
      </c>
      <c r="I22" s="49">
        <v>0.15</v>
      </c>
      <c r="J22" s="49">
        <v>0.1326</v>
      </c>
      <c r="K22" s="46" t="s">
        <v>143</v>
      </c>
      <c r="L22" s="49">
        <v>0.07</v>
      </c>
      <c r="M22" s="49">
        <v>0.12</v>
      </c>
      <c r="N22" s="45" t="s">
        <v>328</v>
      </c>
    </row>
    <row r="23">
      <c r="A23" s="45" t="s">
        <v>500</v>
      </c>
      <c r="B23" s="45" t="s">
        <v>101</v>
      </c>
      <c r="C23" s="47">
        <v>25261.0</v>
      </c>
      <c r="D23" s="45" t="s">
        <v>501</v>
      </c>
      <c r="E23" s="48">
        <v>3200000.0</v>
      </c>
      <c r="F23" s="48">
        <v>3589000.0</v>
      </c>
      <c r="G23" s="49">
        <v>0.5</v>
      </c>
      <c r="H23" s="49">
        <v>0.2</v>
      </c>
      <c r="I23" s="49">
        <v>0.15</v>
      </c>
      <c r="J23" s="49">
        <v>0.0684</v>
      </c>
      <c r="K23" s="45" t="s">
        <v>134</v>
      </c>
      <c r="L23" s="49">
        <v>0.06</v>
      </c>
      <c r="M23" s="49">
        <v>0.12</v>
      </c>
      <c r="N23" s="45" t="s">
        <v>502</v>
      </c>
    </row>
    <row r="24">
      <c r="A24" s="45" t="s">
        <v>503</v>
      </c>
      <c r="B24" s="45" t="s">
        <v>101</v>
      </c>
      <c r="C24" s="47">
        <v>29346.0</v>
      </c>
      <c r="D24" s="45" t="s">
        <v>504</v>
      </c>
      <c r="E24" s="48">
        <v>1800000.0</v>
      </c>
      <c r="F24" s="48">
        <v>2105000.0</v>
      </c>
      <c r="G24" s="49">
        <v>0.55</v>
      </c>
      <c r="H24" s="49">
        <v>0.2</v>
      </c>
      <c r="I24" s="49">
        <v>0.15</v>
      </c>
      <c r="J24" s="49">
        <v>0.1058</v>
      </c>
      <c r="K24" s="45" t="s">
        <v>134</v>
      </c>
      <c r="L24" s="49">
        <v>0.07</v>
      </c>
      <c r="M24" s="49">
        <v>0.12</v>
      </c>
      <c r="N24" s="45" t="s">
        <v>332</v>
      </c>
    </row>
    <row r="25">
      <c r="A25" s="45" t="s">
        <v>505</v>
      </c>
      <c r="B25" s="45" t="s">
        <v>101</v>
      </c>
      <c r="C25" s="47">
        <v>26561.0</v>
      </c>
      <c r="D25" s="45" t="s">
        <v>506</v>
      </c>
      <c r="E25" s="48">
        <v>4100000.0</v>
      </c>
      <c r="F25" s="48">
        <v>4520000.0</v>
      </c>
      <c r="G25" s="49">
        <v>0.48</v>
      </c>
      <c r="H25" s="49">
        <v>0.22</v>
      </c>
      <c r="I25" s="49">
        <v>0.15</v>
      </c>
      <c r="J25" s="49">
        <v>0.0311</v>
      </c>
      <c r="K25" s="46" t="s">
        <v>124</v>
      </c>
      <c r="L25" s="49">
        <v>0.06</v>
      </c>
      <c r="M25" s="49">
        <v>0.12</v>
      </c>
      <c r="N25" s="45" t="s">
        <v>284</v>
      </c>
    </row>
    <row r="26">
      <c r="A26" s="45" t="s">
        <v>507</v>
      </c>
      <c r="B26" s="45" t="s">
        <v>101</v>
      </c>
      <c r="C26" s="47">
        <v>28187.0</v>
      </c>
      <c r="D26" s="45" t="s">
        <v>508</v>
      </c>
      <c r="E26" s="48">
        <v>2900000.0</v>
      </c>
      <c r="F26" s="48">
        <v>3250000.0</v>
      </c>
      <c r="G26" s="49">
        <v>0.52</v>
      </c>
      <c r="H26" s="49">
        <v>0.18</v>
      </c>
      <c r="I26" s="49">
        <v>0.15</v>
      </c>
      <c r="J26" s="49">
        <v>0.0749</v>
      </c>
      <c r="K26" s="45" t="s">
        <v>134</v>
      </c>
      <c r="L26" s="49">
        <v>0.07</v>
      </c>
      <c r="M26" s="49">
        <v>0.12</v>
      </c>
      <c r="N26" s="45" t="s">
        <v>509</v>
      </c>
    </row>
    <row r="27">
      <c r="A27" s="45" t="s">
        <v>510</v>
      </c>
      <c r="B27" s="45" t="s">
        <v>95</v>
      </c>
      <c r="C27" s="47">
        <v>19155.0</v>
      </c>
      <c r="D27" s="45" t="s">
        <v>511</v>
      </c>
      <c r="E27" s="48">
        <v>500000.0</v>
      </c>
      <c r="F27" s="48">
        <v>520300.0</v>
      </c>
      <c r="G27" s="49">
        <v>0.4</v>
      </c>
      <c r="H27" s="49">
        <v>0.5</v>
      </c>
      <c r="I27" s="49">
        <v>0.1</v>
      </c>
      <c r="J27" s="49">
        <v>0.1203</v>
      </c>
      <c r="K27" s="46" t="s">
        <v>143</v>
      </c>
      <c r="L27" s="49">
        <v>0.05</v>
      </c>
      <c r="M27" s="49">
        <v>0.1</v>
      </c>
      <c r="N27" s="45" t="s">
        <v>273</v>
      </c>
    </row>
    <row r="28">
      <c r="A28" s="45" t="s">
        <v>512</v>
      </c>
      <c r="B28" s="45" t="s">
        <v>95</v>
      </c>
      <c r="C28" s="47">
        <v>18278.0</v>
      </c>
      <c r="D28" s="45" t="s">
        <v>513</v>
      </c>
      <c r="E28" s="48">
        <v>620000.0</v>
      </c>
      <c r="F28" s="48">
        <v>640800.0</v>
      </c>
      <c r="G28" s="49">
        <v>0.35</v>
      </c>
      <c r="H28" s="49">
        <v>0.55</v>
      </c>
      <c r="I28" s="49">
        <v>0.1</v>
      </c>
      <c r="J28" s="49">
        <v>0.0497</v>
      </c>
      <c r="K28" s="46" t="s">
        <v>134</v>
      </c>
      <c r="L28" s="49">
        <v>0.04</v>
      </c>
      <c r="M28" s="49">
        <v>0.08</v>
      </c>
      <c r="N28" s="45" t="s">
        <v>278</v>
      </c>
    </row>
    <row r="29">
      <c r="A29" s="45" t="s">
        <v>96</v>
      </c>
      <c r="B29" s="45" t="s">
        <v>95</v>
      </c>
      <c r="C29" s="47">
        <v>20051.0</v>
      </c>
      <c r="D29" s="45" t="s">
        <v>228</v>
      </c>
      <c r="E29" s="48">
        <v>450000.0</v>
      </c>
      <c r="F29" s="48">
        <v>470200.0</v>
      </c>
      <c r="G29" s="49">
        <v>0.3</v>
      </c>
      <c r="H29" s="49">
        <v>0.6</v>
      </c>
      <c r="I29" s="49">
        <v>0.1</v>
      </c>
      <c r="J29" s="49">
        <v>0.0048</v>
      </c>
      <c r="K29" s="45" t="s">
        <v>124</v>
      </c>
      <c r="L29" s="49">
        <v>0.05</v>
      </c>
      <c r="M29" s="49">
        <v>0.1</v>
      </c>
      <c r="N29" s="45" t="s">
        <v>514</v>
      </c>
    </row>
    <row r="30">
      <c r="A30" s="45" t="s">
        <v>515</v>
      </c>
      <c r="B30" s="45" t="s">
        <v>95</v>
      </c>
      <c r="C30" s="47">
        <v>18726.0</v>
      </c>
      <c r="D30" s="45" t="s">
        <v>516</v>
      </c>
      <c r="E30" s="48">
        <v>700000.0</v>
      </c>
      <c r="F30" s="48">
        <v>728000.0</v>
      </c>
      <c r="G30" s="49">
        <v>0.45</v>
      </c>
      <c r="H30" s="49">
        <v>0.45</v>
      </c>
      <c r="I30" s="49">
        <v>0.1</v>
      </c>
      <c r="J30" s="49">
        <v>0.1129</v>
      </c>
      <c r="K30" s="46" t="s">
        <v>143</v>
      </c>
      <c r="L30" s="49">
        <v>0.05</v>
      </c>
      <c r="M30" s="49">
        <v>0.1</v>
      </c>
      <c r="N30" s="45" t="s">
        <v>323</v>
      </c>
    </row>
    <row r="31">
      <c r="A31" s="45" t="s">
        <v>517</v>
      </c>
      <c r="B31" s="45" t="s">
        <v>95</v>
      </c>
      <c r="C31" s="47">
        <v>19631.0</v>
      </c>
      <c r="D31" s="45" t="s">
        <v>518</v>
      </c>
      <c r="E31" s="48">
        <v>550000.0</v>
      </c>
      <c r="F31" s="48">
        <v>566700.0</v>
      </c>
      <c r="G31" s="49">
        <v>0.38</v>
      </c>
      <c r="H31" s="49">
        <v>0.52</v>
      </c>
      <c r="I31" s="49">
        <v>0.1</v>
      </c>
      <c r="J31" s="50">
        <v>0.07</v>
      </c>
      <c r="K31" s="46" t="s">
        <v>134</v>
      </c>
      <c r="L31" s="49">
        <v>0.04</v>
      </c>
      <c r="M31" s="49">
        <v>0.08</v>
      </c>
      <c r="N31" s="45" t="s">
        <v>326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40.63"/>
  </cols>
  <sheetData>
    <row r="1">
      <c r="A1" s="51" t="s">
        <v>157</v>
      </c>
      <c r="B1" s="51" t="s">
        <v>519</v>
      </c>
      <c r="C1" s="51" t="s">
        <v>520</v>
      </c>
      <c r="D1" s="51" t="s">
        <v>521</v>
      </c>
      <c r="E1" s="51" t="s">
        <v>522</v>
      </c>
      <c r="F1" s="51" t="s">
        <v>523</v>
      </c>
      <c r="G1" s="51" t="s">
        <v>61</v>
      </c>
      <c r="H1" s="51" t="s">
        <v>271</v>
      </c>
      <c r="I1" s="51" t="s">
        <v>159</v>
      </c>
      <c r="J1" s="51" t="s">
        <v>524</v>
      </c>
      <c r="K1" s="51" t="s">
        <v>525</v>
      </c>
      <c r="L1" s="51" t="s">
        <v>526</v>
      </c>
      <c r="M1" s="51" t="s">
        <v>527</v>
      </c>
      <c r="N1" s="51" t="s">
        <v>528</v>
      </c>
      <c r="O1" s="51" t="s">
        <v>529</v>
      </c>
      <c r="P1" s="51" t="s">
        <v>530</v>
      </c>
      <c r="Q1" s="51" t="s">
        <v>531</v>
      </c>
      <c r="R1" s="51" t="s">
        <v>532</v>
      </c>
      <c r="S1" s="52" t="s">
        <v>62</v>
      </c>
    </row>
    <row r="2">
      <c r="A2" s="53" t="s">
        <v>533</v>
      </c>
      <c r="B2" s="54" t="s">
        <v>534</v>
      </c>
      <c r="C2" s="53" t="s">
        <v>535</v>
      </c>
      <c r="D2" s="53" t="s">
        <v>536</v>
      </c>
      <c r="E2" s="55">
        <v>21258.0</v>
      </c>
      <c r="F2" s="53">
        <v>66.0</v>
      </c>
      <c r="G2" s="56" t="s">
        <v>71</v>
      </c>
      <c r="H2" s="57" t="s">
        <v>272</v>
      </c>
      <c r="I2" s="58">
        <v>85000.0</v>
      </c>
      <c r="J2" s="58">
        <v>142000.0</v>
      </c>
      <c r="K2" s="58">
        <v>57000.0</v>
      </c>
      <c r="L2" s="59">
        <f>+67.1%</f>
        <v>0.671</v>
      </c>
      <c r="M2" s="60">
        <v>0.55</v>
      </c>
      <c r="N2" s="60">
        <v>0.15</v>
      </c>
      <c r="O2" s="60">
        <v>0.2</v>
      </c>
      <c r="P2" s="60">
        <v>0.1</v>
      </c>
      <c r="Q2" s="60">
        <v>0.0</v>
      </c>
      <c r="R2" s="54" t="s">
        <v>537</v>
      </c>
      <c r="S2" s="61">
        <v>0.05</v>
      </c>
    </row>
    <row r="3">
      <c r="A3" s="62" t="s">
        <v>538</v>
      </c>
      <c r="B3" s="63" t="s">
        <v>539</v>
      </c>
      <c r="C3" s="62" t="s">
        <v>540</v>
      </c>
      <c r="D3" s="62" t="s">
        <v>541</v>
      </c>
      <c r="E3" s="64">
        <v>22484.0</v>
      </c>
      <c r="F3" s="62">
        <v>63.0</v>
      </c>
      <c r="G3" s="56" t="s">
        <v>71</v>
      </c>
      <c r="H3" s="57" t="s">
        <v>272</v>
      </c>
      <c r="I3" s="65">
        <v>45000.0</v>
      </c>
      <c r="J3" s="65">
        <v>68500.0</v>
      </c>
      <c r="K3" s="65">
        <v>23500.0</v>
      </c>
      <c r="L3" s="66">
        <f>+52.2%</f>
        <v>0.522</v>
      </c>
      <c r="M3" s="67">
        <v>0.6</v>
      </c>
      <c r="N3" s="67">
        <v>0.15</v>
      </c>
      <c r="O3" s="67">
        <v>0.25</v>
      </c>
      <c r="P3" s="67">
        <v>0.0</v>
      </c>
      <c r="Q3" s="67">
        <v>0.0</v>
      </c>
      <c r="R3" s="63" t="s">
        <v>542</v>
      </c>
      <c r="S3" s="61">
        <v>0.1</v>
      </c>
    </row>
    <row r="4">
      <c r="A4" s="53" t="s">
        <v>543</v>
      </c>
      <c r="B4" s="54" t="s">
        <v>544</v>
      </c>
      <c r="C4" s="53" t="s">
        <v>545</v>
      </c>
      <c r="D4" s="53" t="s">
        <v>546</v>
      </c>
      <c r="E4" s="55">
        <v>24054.0</v>
      </c>
      <c r="F4" s="53">
        <v>58.0</v>
      </c>
      <c r="G4" s="56" t="s">
        <v>71</v>
      </c>
      <c r="H4" s="57" t="s">
        <v>272</v>
      </c>
      <c r="I4" s="58">
        <v>120000.0</v>
      </c>
      <c r="J4" s="58">
        <v>165000.0</v>
      </c>
      <c r="K4" s="58">
        <v>45000.0</v>
      </c>
      <c r="L4" s="59">
        <f>+37.5%</f>
        <v>0.375</v>
      </c>
      <c r="M4" s="60">
        <v>0.5</v>
      </c>
      <c r="N4" s="60">
        <v>0.2</v>
      </c>
      <c r="O4" s="60">
        <v>0.2</v>
      </c>
      <c r="P4" s="60">
        <v>0.1</v>
      </c>
      <c r="Q4" s="60">
        <v>0.0</v>
      </c>
      <c r="R4" s="54" t="s">
        <v>547</v>
      </c>
      <c r="S4" s="61">
        <v>0.07</v>
      </c>
    </row>
    <row r="5">
      <c r="A5" s="62" t="s">
        <v>548</v>
      </c>
      <c r="B5" s="63" t="s">
        <v>549</v>
      </c>
      <c r="C5" s="62" t="s">
        <v>550</v>
      </c>
      <c r="D5" s="62" t="s">
        <v>551</v>
      </c>
      <c r="E5" s="64">
        <v>21670.0</v>
      </c>
      <c r="F5" s="62">
        <v>65.0</v>
      </c>
      <c r="G5" s="56" t="s">
        <v>71</v>
      </c>
      <c r="H5" s="57" t="s">
        <v>272</v>
      </c>
      <c r="I5" s="65">
        <v>60000.0</v>
      </c>
      <c r="J5" s="65">
        <v>98000.0</v>
      </c>
      <c r="K5" s="65">
        <v>38000.0</v>
      </c>
      <c r="L5" s="66">
        <f>+63.3%</f>
        <v>0.633</v>
      </c>
      <c r="M5" s="67">
        <v>0.65</v>
      </c>
      <c r="N5" s="67">
        <v>0.2</v>
      </c>
      <c r="O5" s="67">
        <v>0.15</v>
      </c>
      <c r="P5" s="67">
        <v>0.0</v>
      </c>
      <c r="Q5" s="67">
        <v>0.0</v>
      </c>
      <c r="R5" s="63" t="s">
        <v>552</v>
      </c>
      <c r="S5" s="61">
        <v>0.1</v>
      </c>
    </row>
    <row r="6">
      <c r="A6" s="53" t="s">
        <v>553</v>
      </c>
      <c r="B6" s="54" t="s">
        <v>554</v>
      </c>
      <c r="C6" s="53" t="s">
        <v>555</v>
      </c>
      <c r="D6" s="53" t="s">
        <v>556</v>
      </c>
      <c r="E6" s="55">
        <v>23269.0</v>
      </c>
      <c r="F6" s="53">
        <v>61.0</v>
      </c>
      <c r="G6" s="56" t="s">
        <v>71</v>
      </c>
      <c r="H6" s="57" t="s">
        <v>272</v>
      </c>
      <c r="I6" s="58">
        <v>200000.0</v>
      </c>
      <c r="J6" s="58">
        <v>271000.0</v>
      </c>
      <c r="K6" s="58">
        <v>71000.0</v>
      </c>
      <c r="L6" s="59">
        <f>+35.5%</f>
        <v>0.355</v>
      </c>
      <c r="M6" s="60">
        <v>0.55</v>
      </c>
      <c r="N6" s="60">
        <v>0.2</v>
      </c>
      <c r="O6" s="60">
        <v>0.15</v>
      </c>
      <c r="P6" s="60">
        <v>0.1</v>
      </c>
      <c r="Q6" s="60">
        <v>0.0</v>
      </c>
      <c r="R6" s="54" t="s">
        <v>557</v>
      </c>
      <c r="S6" s="61">
        <v>0.05</v>
      </c>
    </row>
    <row r="7">
      <c r="A7" s="62" t="s">
        <v>558</v>
      </c>
      <c r="B7" s="63" t="s">
        <v>559</v>
      </c>
      <c r="C7" s="62" t="s">
        <v>560</v>
      </c>
      <c r="D7" s="62" t="s">
        <v>561</v>
      </c>
      <c r="E7" s="64">
        <v>20137.0</v>
      </c>
      <c r="F7" s="62">
        <v>69.0</v>
      </c>
      <c r="G7" s="68" t="s">
        <v>89</v>
      </c>
      <c r="H7" s="69" t="s">
        <v>285</v>
      </c>
      <c r="I7" s="65">
        <v>300000.0</v>
      </c>
      <c r="J7" s="65">
        <v>418000.0</v>
      </c>
      <c r="K7" s="65">
        <v>118000.0</v>
      </c>
      <c r="L7" s="66">
        <f>+39.3%</f>
        <v>0.393</v>
      </c>
      <c r="M7" s="67">
        <v>0.4</v>
      </c>
      <c r="N7" s="67">
        <v>0.3</v>
      </c>
      <c r="O7" s="67">
        <v>0.1</v>
      </c>
      <c r="P7" s="67">
        <v>0.2</v>
      </c>
      <c r="Q7" s="67">
        <v>0.0</v>
      </c>
      <c r="R7" s="63" t="s">
        <v>562</v>
      </c>
      <c r="S7" s="61">
        <v>0.07</v>
      </c>
    </row>
    <row r="8">
      <c r="A8" s="70" t="s">
        <v>563</v>
      </c>
      <c r="B8" s="71" t="s">
        <v>564</v>
      </c>
      <c r="C8" s="70" t="s">
        <v>565</v>
      </c>
      <c r="D8" s="70" t="s">
        <v>566</v>
      </c>
      <c r="E8" s="72">
        <v>19211.0</v>
      </c>
      <c r="F8" s="70">
        <v>72.0</v>
      </c>
      <c r="G8" s="68" t="s">
        <v>89</v>
      </c>
      <c r="H8" s="57" t="s">
        <v>272</v>
      </c>
      <c r="I8" s="73">
        <v>180000.0</v>
      </c>
      <c r="J8" s="73">
        <v>224000.0</v>
      </c>
      <c r="K8" s="73">
        <v>44000.0</v>
      </c>
      <c r="L8" s="74">
        <f>+24.4%</f>
        <v>0.244</v>
      </c>
      <c r="M8" s="75">
        <v>0.45</v>
      </c>
      <c r="N8" s="75">
        <v>0.35</v>
      </c>
      <c r="O8" s="75">
        <v>0.15</v>
      </c>
      <c r="P8" s="75">
        <v>0.05</v>
      </c>
      <c r="Q8" s="75">
        <v>0.0</v>
      </c>
      <c r="R8" s="71" t="s">
        <v>567</v>
      </c>
      <c r="S8" s="61">
        <v>0.1</v>
      </c>
    </row>
    <row r="9">
      <c r="A9" s="62" t="s">
        <v>568</v>
      </c>
      <c r="B9" s="63" t="s">
        <v>569</v>
      </c>
      <c r="C9" s="62" t="s">
        <v>570</v>
      </c>
      <c r="D9" s="62" t="s">
        <v>571</v>
      </c>
      <c r="E9" s="64">
        <v>22272.0</v>
      </c>
      <c r="F9" s="62">
        <v>64.0</v>
      </c>
      <c r="G9" s="68" t="s">
        <v>89</v>
      </c>
      <c r="H9" s="69" t="s">
        <v>285</v>
      </c>
      <c r="I9" s="65">
        <v>220000.0</v>
      </c>
      <c r="J9" s="65">
        <v>305000.0</v>
      </c>
      <c r="K9" s="65">
        <v>85000.0</v>
      </c>
      <c r="L9" s="66">
        <f>+38.6%</f>
        <v>0.386</v>
      </c>
      <c r="M9" s="67">
        <v>0.35</v>
      </c>
      <c r="N9" s="67">
        <v>0.4</v>
      </c>
      <c r="O9" s="67">
        <v>0.1</v>
      </c>
      <c r="P9" s="67">
        <v>0.15</v>
      </c>
      <c r="Q9" s="67">
        <v>0.0</v>
      </c>
      <c r="R9" s="63" t="s">
        <v>572</v>
      </c>
      <c r="S9" s="61">
        <v>0.09</v>
      </c>
    </row>
    <row r="10">
      <c r="A10" s="70" t="s">
        <v>573</v>
      </c>
      <c r="B10" s="71" t="s">
        <v>574</v>
      </c>
      <c r="C10" s="70" t="s">
        <v>575</v>
      </c>
      <c r="D10" s="70" t="s">
        <v>576</v>
      </c>
      <c r="E10" s="72">
        <v>20951.0</v>
      </c>
      <c r="F10" s="70">
        <v>67.0</v>
      </c>
      <c r="G10" s="68" t="s">
        <v>89</v>
      </c>
      <c r="H10" s="69" t="s">
        <v>285</v>
      </c>
      <c r="I10" s="73">
        <v>95000.0</v>
      </c>
      <c r="J10" s="73">
        <v>137000.0</v>
      </c>
      <c r="K10" s="73">
        <v>42000.0</v>
      </c>
      <c r="L10" s="74">
        <f>+44.2%</f>
        <v>0.442</v>
      </c>
      <c r="M10" s="75">
        <v>0.4</v>
      </c>
      <c r="N10" s="75">
        <v>0.35</v>
      </c>
      <c r="O10" s="75">
        <v>0.15</v>
      </c>
      <c r="P10" s="75">
        <v>0.1</v>
      </c>
      <c r="Q10" s="75">
        <v>0.0</v>
      </c>
      <c r="R10" s="71" t="s">
        <v>577</v>
      </c>
      <c r="S10" s="61">
        <v>0.05</v>
      </c>
    </row>
    <row r="11">
      <c r="A11" s="62" t="s">
        <v>578</v>
      </c>
      <c r="B11" s="63" t="s">
        <v>579</v>
      </c>
      <c r="C11" s="62" t="s">
        <v>580</v>
      </c>
      <c r="D11" s="62" t="s">
        <v>581</v>
      </c>
      <c r="E11" s="64">
        <v>19660.0</v>
      </c>
      <c r="F11" s="62">
        <v>71.0</v>
      </c>
      <c r="G11" s="68" t="s">
        <v>89</v>
      </c>
      <c r="H11" s="57" t="s">
        <v>272</v>
      </c>
      <c r="I11" s="65">
        <v>450000.0</v>
      </c>
      <c r="J11" s="65">
        <v>598000.0</v>
      </c>
      <c r="K11" s="65">
        <v>148000.0</v>
      </c>
      <c r="L11" s="66">
        <f>+32.9%</f>
        <v>0.329</v>
      </c>
      <c r="M11" s="67">
        <v>0.4</v>
      </c>
      <c r="N11" s="67">
        <v>0.35</v>
      </c>
      <c r="O11" s="67">
        <v>0.1</v>
      </c>
      <c r="P11" s="67">
        <v>0.15</v>
      </c>
      <c r="Q11" s="67">
        <v>0.0</v>
      </c>
      <c r="R11" s="63" t="s">
        <v>582</v>
      </c>
      <c r="S11" s="61">
        <v>0.04</v>
      </c>
    </row>
    <row r="12">
      <c r="A12" s="76" t="s">
        <v>583</v>
      </c>
      <c r="B12" s="77" t="s">
        <v>584</v>
      </c>
      <c r="C12" s="76" t="s">
        <v>585</v>
      </c>
      <c r="D12" s="76" t="s">
        <v>586</v>
      </c>
      <c r="E12" s="78">
        <v>18432.0</v>
      </c>
      <c r="F12" s="76">
        <v>74.0</v>
      </c>
      <c r="G12" s="79" t="s">
        <v>95</v>
      </c>
      <c r="H12" s="57" t="s">
        <v>272</v>
      </c>
      <c r="I12" s="80">
        <v>250000.0</v>
      </c>
      <c r="J12" s="80">
        <v>312000.0</v>
      </c>
      <c r="K12" s="80">
        <v>62000.0</v>
      </c>
      <c r="L12" s="81">
        <f>+24.8%</f>
        <v>0.248</v>
      </c>
      <c r="M12" s="82">
        <v>0.5</v>
      </c>
      <c r="N12" s="82">
        <v>0.2</v>
      </c>
      <c r="O12" s="82">
        <v>0.2</v>
      </c>
      <c r="P12" s="82">
        <v>0.1</v>
      </c>
      <c r="Q12" s="82">
        <v>0.0</v>
      </c>
      <c r="R12" s="77" t="s">
        <v>587</v>
      </c>
      <c r="S12" s="61">
        <v>0.06</v>
      </c>
    </row>
    <row r="13">
      <c r="A13" s="62" t="s">
        <v>588</v>
      </c>
      <c r="B13" s="63" t="s">
        <v>589</v>
      </c>
      <c r="C13" s="62" t="s">
        <v>590</v>
      </c>
      <c r="D13" s="62" t="s">
        <v>591</v>
      </c>
      <c r="E13" s="64">
        <v>17596.0</v>
      </c>
      <c r="F13" s="62">
        <v>76.0</v>
      </c>
      <c r="G13" s="79" t="s">
        <v>95</v>
      </c>
      <c r="H13" s="57" t="s">
        <v>272</v>
      </c>
      <c r="I13" s="65">
        <v>320000.0</v>
      </c>
      <c r="J13" s="65">
        <v>388000.0</v>
      </c>
      <c r="K13" s="65">
        <v>68000.0</v>
      </c>
      <c r="L13" s="66">
        <f>+21.3%</f>
        <v>0.213</v>
      </c>
      <c r="M13" s="67">
        <v>0.55</v>
      </c>
      <c r="N13" s="67">
        <v>0.2</v>
      </c>
      <c r="O13" s="67">
        <v>0.25</v>
      </c>
      <c r="P13" s="67">
        <v>0.0</v>
      </c>
      <c r="Q13" s="67">
        <v>0.0</v>
      </c>
      <c r="R13" s="63" t="s">
        <v>592</v>
      </c>
      <c r="S13" s="61">
        <v>0.13</v>
      </c>
    </row>
    <row r="14">
      <c r="A14" s="76" t="s">
        <v>593</v>
      </c>
      <c r="B14" s="77" t="s">
        <v>594</v>
      </c>
      <c r="C14" s="76" t="s">
        <v>595</v>
      </c>
      <c r="D14" s="76" t="s">
        <v>596</v>
      </c>
      <c r="E14" s="78">
        <v>20484.0</v>
      </c>
      <c r="F14" s="76">
        <v>68.0</v>
      </c>
      <c r="G14" s="79" t="s">
        <v>95</v>
      </c>
      <c r="H14" s="69" t="s">
        <v>285</v>
      </c>
      <c r="I14" s="80">
        <v>175000.0</v>
      </c>
      <c r="J14" s="80">
        <v>240000.0</v>
      </c>
      <c r="K14" s="80">
        <v>65000.0</v>
      </c>
      <c r="L14" s="81">
        <f>+37.1%</f>
        <v>0.371</v>
      </c>
      <c r="M14" s="82">
        <v>0.45</v>
      </c>
      <c r="N14" s="82">
        <v>0.3</v>
      </c>
      <c r="O14" s="82">
        <v>0.15</v>
      </c>
      <c r="P14" s="82">
        <v>0.1</v>
      </c>
      <c r="Q14" s="82">
        <v>0.0</v>
      </c>
      <c r="R14" s="77" t="s">
        <v>597</v>
      </c>
      <c r="S14" s="61">
        <v>0.07</v>
      </c>
    </row>
    <row r="15">
      <c r="A15" s="62" t="s">
        <v>598</v>
      </c>
      <c r="B15" s="63" t="s">
        <v>599</v>
      </c>
      <c r="C15" s="62" t="s">
        <v>600</v>
      </c>
      <c r="D15" s="62" t="s">
        <v>601</v>
      </c>
      <c r="E15" s="64">
        <v>19926.0</v>
      </c>
      <c r="F15" s="62">
        <v>69.0</v>
      </c>
      <c r="G15" s="79" t="s">
        <v>95</v>
      </c>
      <c r="H15" s="69" t="s">
        <v>285</v>
      </c>
      <c r="I15" s="65">
        <v>90000.0</v>
      </c>
      <c r="J15" s="65">
        <v>128000.0</v>
      </c>
      <c r="K15" s="65">
        <v>38000.0</v>
      </c>
      <c r="L15" s="66">
        <f>+42.2%</f>
        <v>0.422</v>
      </c>
      <c r="M15" s="67">
        <v>0.4</v>
      </c>
      <c r="N15" s="67">
        <v>0.35</v>
      </c>
      <c r="O15" s="67">
        <v>0.2</v>
      </c>
      <c r="P15" s="67">
        <v>0.05</v>
      </c>
      <c r="Q15" s="67">
        <v>0.0</v>
      </c>
      <c r="R15" s="63" t="s">
        <v>602</v>
      </c>
      <c r="S15" s="61">
        <v>0.09</v>
      </c>
    </row>
    <row r="16">
      <c r="A16" s="76" t="s">
        <v>603</v>
      </c>
      <c r="B16" s="77" t="s">
        <v>604</v>
      </c>
      <c r="C16" s="76" t="s">
        <v>605</v>
      </c>
      <c r="D16" s="76" t="s">
        <v>606</v>
      </c>
      <c r="E16" s="78">
        <v>18883.0</v>
      </c>
      <c r="F16" s="76">
        <v>72.0</v>
      </c>
      <c r="G16" s="79" t="s">
        <v>95</v>
      </c>
      <c r="H16" s="57" t="s">
        <v>272</v>
      </c>
      <c r="I16" s="80">
        <v>510000.0</v>
      </c>
      <c r="J16" s="80">
        <v>624000.0</v>
      </c>
      <c r="K16" s="80">
        <v>114000.0</v>
      </c>
      <c r="L16" s="81">
        <f>+22.4%</f>
        <v>0.224</v>
      </c>
      <c r="M16" s="82">
        <v>0.5</v>
      </c>
      <c r="N16" s="82">
        <v>0.2</v>
      </c>
      <c r="O16" s="82">
        <v>0.2</v>
      </c>
      <c r="P16" s="82">
        <v>0.1</v>
      </c>
      <c r="Q16" s="82">
        <v>0.0</v>
      </c>
      <c r="R16" s="77" t="s">
        <v>607</v>
      </c>
      <c r="S16" s="61">
        <v>0.06</v>
      </c>
    </row>
    <row r="17">
      <c r="A17" s="62" t="s">
        <v>608</v>
      </c>
      <c r="B17" s="63" t="s">
        <v>609</v>
      </c>
      <c r="C17" s="62" t="s">
        <v>610</v>
      </c>
      <c r="D17" s="62" t="s">
        <v>611</v>
      </c>
      <c r="E17" s="64">
        <v>27475.0</v>
      </c>
      <c r="F17" s="62">
        <v>49.0</v>
      </c>
      <c r="G17" s="83" t="s">
        <v>77</v>
      </c>
      <c r="H17" s="69" t="s">
        <v>285</v>
      </c>
      <c r="I17" s="65">
        <v>55000.0</v>
      </c>
      <c r="J17" s="65">
        <v>112000.0</v>
      </c>
      <c r="K17" s="65">
        <v>57000.0</v>
      </c>
      <c r="L17" s="66">
        <f>+103.6%</f>
        <v>1.036</v>
      </c>
      <c r="M17" s="67">
        <v>0.3</v>
      </c>
      <c r="N17" s="67">
        <v>0.5</v>
      </c>
      <c r="O17" s="67">
        <v>0.1</v>
      </c>
      <c r="P17" s="67">
        <v>0.0</v>
      </c>
      <c r="Q17" s="67">
        <v>0.0</v>
      </c>
      <c r="R17" s="63" t="s">
        <v>612</v>
      </c>
      <c r="S17" s="61">
        <v>0.08</v>
      </c>
    </row>
    <row r="18">
      <c r="A18" s="84" t="s">
        <v>613</v>
      </c>
      <c r="B18" s="85" t="s">
        <v>79</v>
      </c>
      <c r="C18" s="84" t="s">
        <v>614</v>
      </c>
      <c r="D18" s="84" t="s">
        <v>199</v>
      </c>
      <c r="E18" s="86">
        <v>30141.0</v>
      </c>
      <c r="F18" s="84">
        <v>42.0</v>
      </c>
      <c r="G18" s="83" t="s">
        <v>77</v>
      </c>
      <c r="H18" s="69" t="s">
        <v>285</v>
      </c>
      <c r="I18" s="87">
        <v>30000.0</v>
      </c>
      <c r="J18" s="87">
        <v>78000.0</v>
      </c>
      <c r="K18" s="87">
        <v>48000.0</v>
      </c>
      <c r="L18" s="88">
        <f>+160%</f>
        <v>1.6</v>
      </c>
      <c r="M18" s="89">
        <v>0.25</v>
      </c>
      <c r="N18" s="89">
        <v>0.55</v>
      </c>
      <c r="O18" s="89">
        <v>0.1</v>
      </c>
      <c r="P18" s="89">
        <v>0.1</v>
      </c>
      <c r="Q18" s="89">
        <v>0.0</v>
      </c>
      <c r="R18" s="85" t="s">
        <v>615</v>
      </c>
      <c r="S18" s="61">
        <v>0.04</v>
      </c>
    </row>
    <row r="19">
      <c r="A19" s="62" t="s">
        <v>616</v>
      </c>
      <c r="B19" s="63" t="s">
        <v>617</v>
      </c>
      <c r="C19" s="62" t="s">
        <v>618</v>
      </c>
      <c r="D19" s="62" t="s">
        <v>619</v>
      </c>
      <c r="E19" s="64">
        <v>28809.0</v>
      </c>
      <c r="F19" s="62">
        <v>46.0</v>
      </c>
      <c r="G19" s="83" t="s">
        <v>77</v>
      </c>
      <c r="H19" s="69" t="s">
        <v>285</v>
      </c>
      <c r="I19" s="65">
        <v>80000.0</v>
      </c>
      <c r="J19" s="65">
        <v>158000.0</v>
      </c>
      <c r="K19" s="65">
        <v>78000.0</v>
      </c>
      <c r="L19" s="66">
        <f>+97.5%</f>
        <v>0.975</v>
      </c>
      <c r="M19" s="67">
        <v>0.3</v>
      </c>
      <c r="N19" s="67">
        <v>0.5</v>
      </c>
      <c r="O19" s="67">
        <v>0.1</v>
      </c>
      <c r="P19" s="67">
        <v>0.1</v>
      </c>
      <c r="Q19" s="67">
        <v>0.0</v>
      </c>
      <c r="R19" s="63" t="s">
        <v>620</v>
      </c>
      <c r="S19" s="61">
        <v>0.05</v>
      </c>
    </row>
    <row r="20">
      <c r="A20" s="84" t="s">
        <v>621</v>
      </c>
      <c r="B20" s="85" t="s">
        <v>622</v>
      </c>
      <c r="C20" s="84" t="s">
        <v>623</v>
      </c>
      <c r="D20" s="84" t="s">
        <v>624</v>
      </c>
      <c r="E20" s="86">
        <v>31164.0</v>
      </c>
      <c r="F20" s="84">
        <v>39.0</v>
      </c>
      <c r="G20" s="83" t="s">
        <v>77</v>
      </c>
      <c r="H20" s="69" t="s">
        <v>285</v>
      </c>
      <c r="I20" s="87">
        <v>22000.0</v>
      </c>
      <c r="J20" s="87">
        <v>54000.0</v>
      </c>
      <c r="K20" s="87">
        <v>32000.0</v>
      </c>
      <c r="L20" s="88">
        <f>+145.5%</f>
        <v>1.455</v>
      </c>
      <c r="M20" s="89">
        <v>0.25</v>
      </c>
      <c r="N20" s="89">
        <v>0.55</v>
      </c>
      <c r="O20" s="89">
        <v>0.15</v>
      </c>
      <c r="P20" s="89">
        <v>0.0</v>
      </c>
      <c r="Q20" s="89">
        <v>0.0</v>
      </c>
      <c r="R20" s="85" t="s">
        <v>625</v>
      </c>
      <c r="S20" s="61">
        <v>0.075</v>
      </c>
    </row>
    <row r="21">
      <c r="A21" s="62" t="s">
        <v>626</v>
      </c>
      <c r="B21" s="63" t="s">
        <v>627</v>
      </c>
      <c r="C21" s="62" t="s">
        <v>628</v>
      </c>
      <c r="D21" s="62" t="s">
        <v>629</v>
      </c>
      <c r="E21" s="64">
        <v>29070.0</v>
      </c>
      <c r="F21" s="62">
        <v>45.0</v>
      </c>
      <c r="G21" s="83" t="s">
        <v>77</v>
      </c>
      <c r="H21" s="69" t="s">
        <v>285</v>
      </c>
      <c r="I21" s="65">
        <v>100000.0</v>
      </c>
      <c r="J21" s="65">
        <v>195000.0</v>
      </c>
      <c r="K21" s="65">
        <v>95000.0</v>
      </c>
      <c r="L21" s="66">
        <f>+95%</f>
        <v>0.95</v>
      </c>
      <c r="M21" s="67">
        <v>0.25</v>
      </c>
      <c r="N21" s="67">
        <v>0.55</v>
      </c>
      <c r="O21" s="67">
        <v>0.1</v>
      </c>
      <c r="P21" s="67">
        <v>0.1</v>
      </c>
      <c r="Q21" s="67">
        <v>0.0</v>
      </c>
      <c r="R21" s="63" t="s">
        <v>630</v>
      </c>
      <c r="S21" s="61">
        <v>0.04</v>
      </c>
    </row>
    <row r="22">
      <c r="A22" s="90" t="s">
        <v>631</v>
      </c>
      <c r="B22" s="91" t="s">
        <v>632</v>
      </c>
      <c r="C22" s="90" t="s">
        <v>633</v>
      </c>
      <c r="D22" s="90" t="s">
        <v>634</v>
      </c>
      <c r="E22" s="92">
        <v>24882.0</v>
      </c>
      <c r="F22" s="90">
        <v>56.0</v>
      </c>
      <c r="G22" s="93" t="s">
        <v>101</v>
      </c>
      <c r="H22" s="94" t="s">
        <v>299</v>
      </c>
      <c r="I22" s="95">
        <v>1200000.0</v>
      </c>
      <c r="J22" s="95">
        <v>3840000.0</v>
      </c>
      <c r="K22" s="95">
        <v>2640000.0</v>
      </c>
      <c r="L22" s="96">
        <f>+220%</f>
        <v>2.2</v>
      </c>
      <c r="M22" s="97">
        <v>0.15</v>
      </c>
      <c r="N22" s="97">
        <v>0.45</v>
      </c>
      <c r="O22" s="97">
        <v>0.05</v>
      </c>
      <c r="P22" s="97">
        <v>0.15</v>
      </c>
      <c r="Q22" s="97">
        <v>0.2</v>
      </c>
      <c r="R22" s="91" t="s">
        <v>635</v>
      </c>
      <c r="S22" s="61">
        <v>0.01</v>
      </c>
    </row>
    <row r="23">
      <c r="A23" s="62" t="s">
        <v>636</v>
      </c>
      <c r="B23" s="63" t="s">
        <v>103</v>
      </c>
      <c r="C23" s="62" t="s">
        <v>637</v>
      </c>
      <c r="D23" s="62" t="s">
        <v>240</v>
      </c>
      <c r="E23" s="64">
        <v>26184.0</v>
      </c>
      <c r="F23" s="62">
        <v>53.0</v>
      </c>
      <c r="G23" s="93" t="s">
        <v>101</v>
      </c>
      <c r="H23" s="94" t="s">
        <v>299</v>
      </c>
      <c r="I23" s="65">
        <v>800000.0</v>
      </c>
      <c r="J23" s="65">
        <v>2150000.0</v>
      </c>
      <c r="K23" s="65">
        <v>1350000.0</v>
      </c>
      <c r="L23" s="66">
        <f>+168.8%</f>
        <v>1.688</v>
      </c>
      <c r="M23" s="67">
        <v>0.15</v>
      </c>
      <c r="N23" s="67">
        <v>0.5</v>
      </c>
      <c r="O23" s="67">
        <v>0.05</v>
      </c>
      <c r="P23" s="67">
        <v>0.15</v>
      </c>
      <c r="Q23" s="67">
        <v>0.15</v>
      </c>
      <c r="R23" s="63" t="s">
        <v>638</v>
      </c>
      <c r="S23" s="61">
        <v>0.05</v>
      </c>
    </row>
    <row r="24">
      <c r="A24" s="90" t="s">
        <v>639</v>
      </c>
      <c r="B24" s="91" t="s">
        <v>640</v>
      </c>
      <c r="C24" s="90" t="s">
        <v>641</v>
      </c>
      <c r="D24" s="90" t="s">
        <v>642</v>
      </c>
      <c r="E24" s="92">
        <v>23918.0</v>
      </c>
      <c r="F24" s="90">
        <v>59.0</v>
      </c>
      <c r="G24" s="93" t="s">
        <v>101</v>
      </c>
      <c r="H24" s="69" t="s">
        <v>285</v>
      </c>
      <c r="I24" s="95">
        <v>2000000.0</v>
      </c>
      <c r="J24" s="95">
        <v>5200000.0</v>
      </c>
      <c r="K24" s="95">
        <v>3200000.0</v>
      </c>
      <c r="L24" s="96">
        <f>+160%</f>
        <v>1.6</v>
      </c>
      <c r="M24" s="97">
        <v>0.2</v>
      </c>
      <c r="N24" s="97">
        <v>0.4</v>
      </c>
      <c r="O24" s="97">
        <v>0.05</v>
      </c>
      <c r="P24" s="97">
        <v>0.15</v>
      </c>
      <c r="Q24" s="97">
        <v>0.2</v>
      </c>
      <c r="R24" s="91" t="s">
        <v>643</v>
      </c>
      <c r="S24" s="61">
        <v>0.06</v>
      </c>
    </row>
    <row r="25">
      <c r="A25" s="62" t="s">
        <v>644</v>
      </c>
      <c r="B25" s="63" t="s">
        <v>645</v>
      </c>
      <c r="C25" s="62" t="s">
        <v>646</v>
      </c>
      <c r="D25" s="62" t="s">
        <v>647</v>
      </c>
      <c r="E25" s="64">
        <v>26620.0</v>
      </c>
      <c r="F25" s="62">
        <v>52.0</v>
      </c>
      <c r="G25" s="93" t="s">
        <v>101</v>
      </c>
      <c r="H25" s="94" t="s">
        <v>299</v>
      </c>
      <c r="I25" s="65">
        <v>500000.0</v>
      </c>
      <c r="J25" s="65">
        <v>1850000.0</v>
      </c>
      <c r="K25" s="65">
        <v>1350000.0</v>
      </c>
      <c r="L25" s="66">
        <f>+270%</f>
        <v>2.7</v>
      </c>
      <c r="M25" s="67">
        <v>0.05</v>
      </c>
      <c r="N25" s="67">
        <v>0.55</v>
      </c>
      <c r="O25" s="67">
        <v>0.05</v>
      </c>
      <c r="P25" s="67">
        <v>0.15</v>
      </c>
      <c r="Q25" s="67">
        <v>0.2</v>
      </c>
      <c r="R25" s="63" t="s">
        <v>648</v>
      </c>
      <c r="S25" s="61">
        <v>0.1</v>
      </c>
    </row>
    <row r="26">
      <c r="A26" s="90" t="s">
        <v>649</v>
      </c>
      <c r="B26" s="91" t="s">
        <v>650</v>
      </c>
      <c r="C26" s="90" t="s">
        <v>651</v>
      </c>
      <c r="D26" s="90" t="s">
        <v>652</v>
      </c>
      <c r="E26" s="92">
        <v>25295.0</v>
      </c>
      <c r="F26" s="90">
        <v>55.0</v>
      </c>
      <c r="G26" s="93" t="s">
        <v>101</v>
      </c>
      <c r="H26" s="69" t="s">
        <v>285</v>
      </c>
      <c r="I26" s="95">
        <v>3000000.0</v>
      </c>
      <c r="J26" s="95">
        <v>7600000.0</v>
      </c>
      <c r="K26" s="95">
        <v>4600000.0</v>
      </c>
      <c r="L26" s="96">
        <f t="shared" ref="L26:L27" si="1">+153.3%</f>
        <v>1.533</v>
      </c>
      <c r="M26" s="97">
        <v>0.2</v>
      </c>
      <c r="N26" s="97">
        <v>0.4</v>
      </c>
      <c r="O26" s="97">
        <v>0.05</v>
      </c>
      <c r="P26" s="97">
        <v>0.1</v>
      </c>
      <c r="Q26" s="97">
        <v>0.25</v>
      </c>
      <c r="R26" s="91" t="s">
        <v>653</v>
      </c>
      <c r="S26" s="61">
        <v>0.1</v>
      </c>
    </row>
    <row r="27">
      <c r="A27" s="62" t="s">
        <v>654</v>
      </c>
      <c r="B27" s="63" t="s">
        <v>84</v>
      </c>
      <c r="C27" s="62" t="s">
        <v>655</v>
      </c>
      <c r="D27" s="62" t="s">
        <v>207</v>
      </c>
      <c r="E27" s="64">
        <v>34925.0</v>
      </c>
      <c r="F27" s="62">
        <v>29.0</v>
      </c>
      <c r="G27" s="98" t="s">
        <v>83</v>
      </c>
      <c r="H27" s="94" t="s">
        <v>299</v>
      </c>
      <c r="I27" s="65">
        <v>15000.0</v>
      </c>
      <c r="J27" s="65">
        <v>38000.0</v>
      </c>
      <c r="K27" s="65">
        <v>23000.0</v>
      </c>
      <c r="L27" s="66">
        <f t="shared" si="1"/>
        <v>1.533</v>
      </c>
      <c r="M27" s="67">
        <v>0.0</v>
      </c>
      <c r="N27" s="67">
        <v>0.8</v>
      </c>
      <c r="O27" s="67">
        <v>0.05</v>
      </c>
      <c r="P27" s="67">
        <v>0.0</v>
      </c>
      <c r="Q27" s="67">
        <v>0.05</v>
      </c>
      <c r="R27" s="63" t="s">
        <v>656</v>
      </c>
      <c r="S27" s="61">
        <v>0.04</v>
      </c>
    </row>
    <row r="28">
      <c r="A28" s="99" t="s">
        <v>657</v>
      </c>
      <c r="B28" s="100" t="s">
        <v>658</v>
      </c>
      <c r="C28" s="99" t="s">
        <v>659</v>
      </c>
      <c r="D28" s="99" t="s">
        <v>660</v>
      </c>
      <c r="E28" s="101">
        <v>34033.0</v>
      </c>
      <c r="F28" s="99">
        <v>31.0</v>
      </c>
      <c r="G28" s="98" t="s">
        <v>83</v>
      </c>
      <c r="H28" s="94" t="s">
        <v>299</v>
      </c>
      <c r="I28" s="102">
        <v>20000.0</v>
      </c>
      <c r="J28" s="102">
        <v>62000.0</v>
      </c>
      <c r="K28" s="102">
        <v>42000.0</v>
      </c>
      <c r="L28" s="103">
        <f>+210%</f>
        <v>2.1</v>
      </c>
      <c r="M28" s="104">
        <v>0.0</v>
      </c>
      <c r="N28" s="104">
        <v>0.75</v>
      </c>
      <c r="O28" s="104">
        <v>0.05</v>
      </c>
      <c r="P28" s="104">
        <v>0.0</v>
      </c>
      <c r="Q28" s="104">
        <v>0.05</v>
      </c>
      <c r="R28" s="100" t="s">
        <v>661</v>
      </c>
      <c r="S28" s="61">
        <v>0.015</v>
      </c>
    </row>
    <row r="29">
      <c r="A29" s="62" t="s">
        <v>662</v>
      </c>
      <c r="B29" s="63" t="s">
        <v>663</v>
      </c>
      <c r="C29" s="62" t="s">
        <v>540</v>
      </c>
      <c r="D29" s="62" t="s">
        <v>664</v>
      </c>
      <c r="E29" s="64">
        <v>33227.0</v>
      </c>
      <c r="F29" s="62">
        <v>34.0</v>
      </c>
      <c r="G29" s="98" t="s">
        <v>83</v>
      </c>
      <c r="H29" s="94" t="s">
        <v>299</v>
      </c>
      <c r="I29" s="65">
        <v>40000.0</v>
      </c>
      <c r="J29" s="65">
        <v>118000.0</v>
      </c>
      <c r="K29" s="65">
        <v>78000.0</v>
      </c>
      <c r="L29" s="66">
        <f>+195%</f>
        <v>1.95</v>
      </c>
      <c r="M29" s="67">
        <v>0.0</v>
      </c>
      <c r="N29" s="67">
        <v>0.7</v>
      </c>
      <c r="O29" s="67">
        <v>0.05</v>
      </c>
      <c r="P29" s="67">
        <v>0.0</v>
      </c>
      <c r="Q29" s="67">
        <v>0.1</v>
      </c>
      <c r="R29" s="63" t="s">
        <v>665</v>
      </c>
      <c r="S29" s="61">
        <v>0.045</v>
      </c>
    </row>
    <row r="30">
      <c r="A30" s="99" t="s">
        <v>666</v>
      </c>
      <c r="B30" s="100" t="s">
        <v>81</v>
      </c>
      <c r="C30" s="99" t="s">
        <v>667</v>
      </c>
      <c r="D30" s="99" t="s">
        <v>668</v>
      </c>
      <c r="E30" s="101">
        <v>35568.0</v>
      </c>
      <c r="F30" s="99">
        <v>27.0</v>
      </c>
      <c r="G30" s="98" t="s">
        <v>83</v>
      </c>
      <c r="H30" s="94" t="s">
        <v>299</v>
      </c>
      <c r="I30" s="102">
        <v>8000.0</v>
      </c>
      <c r="J30" s="102">
        <v>24000.0</v>
      </c>
      <c r="K30" s="102">
        <v>16000.0</v>
      </c>
      <c r="L30" s="103">
        <f>+200%</f>
        <v>2</v>
      </c>
      <c r="M30" s="104">
        <v>0.0</v>
      </c>
      <c r="N30" s="104">
        <v>0.8</v>
      </c>
      <c r="O30" s="104">
        <v>0.08</v>
      </c>
      <c r="P30" s="104">
        <v>0.0</v>
      </c>
      <c r="Q30" s="104">
        <v>0.0</v>
      </c>
      <c r="R30" s="100" t="s">
        <v>669</v>
      </c>
      <c r="S30" s="61">
        <v>0.07</v>
      </c>
    </row>
    <row r="31">
      <c r="A31" s="62" t="s">
        <v>670</v>
      </c>
      <c r="B31" s="63" t="s">
        <v>671</v>
      </c>
      <c r="C31" s="62" t="s">
        <v>672</v>
      </c>
      <c r="D31" s="62" t="s">
        <v>673</v>
      </c>
      <c r="E31" s="64">
        <v>32419.0</v>
      </c>
      <c r="F31" s="62">
        <v>36.0</v>
      </c>
      <c r="G31" s="98" t="s">
        <v>83</v>
      </c>
      <c r="H31" s="94" t="s">
        <v>299</v>
      </c>
      <c r="I31" s="65">
        <v>65000.0</v>
      </c>
      <c r="J31" s="65">
        <v>198000.0</v>
      </c>
      <c r="K31" s="65">
        <v>133000.0</v>
      </c>
      <c r="L31" s="66">
        <f>+204.6%</f>
        <v>2.046</v>
      </c>
      <c r="M31" s="67">
        <v>0.0</v>
      </c>
      <c r="N31" s="67">
        <v>0.7</v>
      </c>
      <c r="O31" s="67">
        <v>0.05</v>
      </c>
      <c r="P31" s="67">
        <v>0.0</v>
      </c>
      <c r="Q31" s="67">
        <v>0.1</v>
      </c>
      <c r="R31" s="63" t="s">
        <v>674</v>
      </c>
      <c r="S31" s="61">
        <v>0.045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14" max="14" width="50.75"/>
  </cols>
  <sheetData>
    <row r="1">
      <c r="A1" s="38" t="s">
        <v>61</v>
      </c>
      <c r="B1" s="38" t="s">
        <v>114</v>
      </c>
      <c r="C1" s="38" t="s">
        <v>115</v>
      </c>
      <c r="D1" s="39" t="s">
        <v>116</v>
      </c>
      <c r="L1" s="105"/>
    </row>
    <row r="2">
      <c r="A2" s="38" t="s">
        <v>71</v>
      </c>
      <c r="B2" s="40">
        <v>4.0</v>
      </c>
      <c r="C2" s="40">
        <v>8.0</v>
      </c>
      <c r="D2" s="41" t="s">
        <v>124</v>
      </c>
      <c r="L2" s="105"/>
    </row>
    <row r="3">
      <c r="A3" s="38" t="s">
        <v>77</v>
      </c>
      <c r="B3" s="40">
        <v>6.0</v>
      </c>
      <c r="C3" s="40">
        <v>12.0</v>
      </c>
      <c r="D3" s="41" t="s">
        <v>134</v>
      </c>
      <c r="L3" s="105"/>
    </row>
    <row r="4">
      <c r="A4" s="38" t="s">
        <v>83</v>
      </c>
      <c r="B4" s="40">
        <v>8.0</v>
      </c>
      <c r="C4" s="40">
        <v>15.0</v>
      </c>
      <c r="D4" s="41" t="s">
        <v>143</v>
      </c>
      <c r="L4" s="105"/>
    </row>
    <row r="5">
      <c r="A5" s="38" t="s">
        <v>89</v>
      </c>
      <c r="B5" s="40">
        <v>5.0</v>
      </c>
      <c r="C5" s="40">
        <v>10.0</v>
      </c>
      <c r="D5" s="41" t="s">
        <v>124</v>
      </c>
      <c r="L5" s="105"/>
    </row>
    <row r="6">
      <c r="A6" s="38" t="s">
        <v>95</v>
      </c>
      <c r="B6" s="40">
        <v>5.0</v>
      </c>
      <c r="C6" s="40">
        <v>10.0</v>
      </c>
      <c r="D6" s="41" t="s">
        <v>124</v>
      </c>
      <c r="L6" s="105"/>
    </row>
    <row r="7">
      <c r="A7" s="38" t="s">
        <v>152</v>
      </c>
      <c r="B7" s="40">
        <v>7.0</v>
      </c>
      <c r="C7" s="40">
        <v>12.0</v>
      </c>
      <c r="D7" s="41" t="s">
        <v>134</v>
      </c>
      <c r="L7" s="105"/>
    </row>
    <row r="8">
      <c r="L8" s="105"/>
    </row>
    <row r="9">
      <c r="A9" s="106" t="s">
        <v>155</v>
      </c>
      <c r="B9" s="106" t="s">
        <v>60</v>
      </c>
      <c r="C9" s="106" t="s">
        <v>61</v>
      </c>
      <c r="D9" s="106" t="s">
        <v>156</v>
      </c>
      <c r="E9" s="106" t="s">
        <v>251</v>
      </c>
      <c r="F9" s="106" t="s">
        <v>158</v>
      </c>
      <c r="G9" s="106" t="s">
        <v>159</v>
      </c>
      <c r="H9" s="106" t="s">
        <v>252</v>
      </c>
      <c r="I9" s="106" t="s">
        <v>253</v>
      </c>
      <c r="J9" s="106" t="s">
        <v>254</v>
      </c>
      <c r="K9" s="106" t="s">
        <v>255</v>
      </c>
      <c r="L9" s="106" t="s">
        <v>62</v>
      </c>
      <c r="M9" s="106" t="s">
        <v>116</v>
      </c>
      <c r="N9" s="106" t="s">
        <v>160</v>
      </c>
      <c r="O9" s="107"/>
      <c r="P9" s="107"/>
    </row>
    <row r="10">
      <c r="A10" s="108" t="s">
        <v>178</v>
      </c>
      <c r="B10" s="108" t="s">
        <v>70</v>
      </c>
      <c r="C10" s="108" t="s">
        <v>71</v>
      </c>
      <c r="D10" s="109">
        <v>21287.0</v>
      </c>
      <c r="E10" s="108" t="s">
        <v>179</v>
      </c>
      <c r="F10" s="110">
        <v>850000.0</v>
      </c>
      <c r="G10" s="110">
        <v>650000.0</v>
      </c>
      <c r="H10" s="110">
        <v>18.0</v>
      </c>
      <c r="I10" s="110">
        <v>62.0</v>
      </c>
      <c r="J10" s="110">
        <v>20.0</v>
      </c>
      <c r="K10" s="110">
        <v>0.0</v>
      </c>
      <c r="L10" s="111">
        <v>2.5</v>
      </c>
      <c r="M10" s="108" t="s">
        <v>124</v>
      </c>
      <c r="N10" s="108" t="s">
        <v>180</v>
      </c>
      <c r="O10" s="107"/>
      <c r="P10" s="107"/>
    </row>
    <row r="11">
      <c r="A11" s="108" t="s">
        <v>178</v>
      </c>
      <c r="B11" s="108" t="s">
        <v>74</v>
      </c>
      <c r="C11" s="108" t="s">
        <v>71</v>
      </c>
      <c r="D11" s="109">
        <v>22512.0</v>
      </c>
      <c r="E11" s="108" t="s">
        <v>188</v>
      </c>
      <c r="F11" s="110">
        <v>1200000.0</v>
      </c>
      <c r="G11" s="110">
        <v>900000.0</v>
      </c>
      <c r="H11" s="110">
        <v>22.0</v>
      </c>
      <c r="I11" s="110">
        <v>58.0</v>
      </c>
      <c r="J11" s="110">
        <v>20.0</v>
      </c>
      <c r="K11" s="110">
        <v>0.0</v>
      </c>
      <c r="L11" s="111">
        <v>4.0</v>
      </c>
      <c r="M11" s="108" t="s">
        <v>124</v>
      </c>
      <c r="N11" s="108" t="s">
        <v>189</v>
      </c>
      <c r="O11" s="107"/>
      <c r="P11" s="107"/>
    </row>
    <row r="12">
      <c r="A12" s="108" t="s">
        <v>178</v>
      </c>
      <c r="B12" s="108" t="s">
        <v>276</v>
      </c>
      <c r="C12" s="108" t="s">
        <v>71</v>
      </c>
      <c r="D12" s="109">
        <v>20123.0</v>
      </c>
      <c r="E12" s="108" t="s">
        <v>277</v>
      </c>
      <c r="F12" s="110">
        <v>675000.0</v>
      </c>
      <c r="G12" s="110">
        <v>500000.0</v>
      </c>
      <c r="H12" s="110">
        <v>26.0</v>
      </c>
      <c r="I12" s="110">
        <v>54.0</v>
      </c>
      <c r="J12" s="110">
        <v>20.0</v>
      </c>
      <c r="K12" s="110">
        <v>0.0</v>
      </c>
      <c r="L12" s="111">
        <v>7.2</v>
      </c>
      <c r="M12" s="108" t="s">
        <v>124</v>
      </c>
      <c r="N12" s="108" t="s">
        <v>675</v>
      </c>
      <c r="O12" s="107"/>
      <c r="P12" s="107"/>
    </row>
    <row r="13">
      <c r="A13" s="108" t="s">
        <v>178</v>
      </c>
      <c r="B13" s="108" t="s">
        <v>279</v>
      </c>
      <c r="C13" s="108" t="s">
        <v>71</v>
      </c>
      <c r="D13" s="109">
        <v>23702.0</v>
      </c>
      <c r="E13" s="108" t="s">
        <v>280</v>
      </c>
      <c r="F13" s="110">
        <v>425000.0</v>
      </c>
      <c r="G13" s="110">
        <v>300000.0</v>
      </c>
      <c r="H13" s="110">
        <v>16.0</v>
      </c>
      <c r="I13" s="110">
        <v>64.0</v>
      </c>
      <c r="J13" s="110">
        <v>20.0</v>
      </c>
      <c r="K13" s="110">
        <v>0.0</v>
      </c>
      <c r="L13" s="111">
        <v>-3.8</v>
      </c>
      <c r="M13" s="108" t="s">
        <v>124</v>
      </c>
      <c r="N13" s="108" t="s">
        <v>676</v>
      </c>
      <c r="O13" s="108"/>
      <c r="P13" s="107"/>
    </row>
    <row r="14">
      <c r="A14" s="108" t="s">
        <v>178</v>
      </c>
      <c r="B14" s="108" t="s">
        <v>282</v>
      </c>
      <c r="C14" s="108" t="s">
        <v>71</v>
      </c>
      <c r="D14" s="109">
        <v>21716.0</v>
      </c>
      <c r="E14" s="108" t="s">
        <v>283</v>
      </c>
      <c r="F14" s="110">
        <v>2100000.0</v>
      </c>
      <c r="G14" s="110">
        <v>1600000.0</v>
      </c>
      <c r="H14" s="110">
        <v>20.0</v>
      </c>
      <c r="I14" s="110">
        <v>60.0</v>
      </c>
      <c r="J14" s="110">
        <v>20.0</v>
      </c>
      <c r="K14" s="110">
        <v>0.0</v>
      </c>
      <c r="L14" s="111">
        <v>0.8</v>
      </c>
      <c r="M14" s="108" t="s">
        <v>124</v>
      </c>
      <c r="N14" s="108" t="s">
        <v>677</v>
      </c>
      <c r="O14" s="107"/>
      <c r="P14" s="107"/>
    </row>
    <row r="15">
      <c r="A15" s="108" t="s">
        <v>178</v>
      </c>
      <c r="B15" s="108" t="s">
        <v>76</v>
      </c>
      <c r="C15" s="108" t="s">
        <v>77</v>
      </c>
      <c r="D15" s="109">
        <v>29298.0</v>
      </c>
      <c r="E15" s="108" t="s">
        <v>194</v>
      </c>
      <c r="F15" s="110">
        <v>950000.0</v>
      </c>
      <c r="G15" s="110">
        <v>650000.0</v>
      </c>
      <c r="H15" s="110">
        <v>55.0</v>
      </c>
      <c r="I15" s="110">
        <v>35.0</v>
      </c>
      <c r="J15" s="110">
        <v>10.0</v>
      </c>
      <c r="K15" s="110">
        <v>0.0</v>
      </c>
      <c r="L15" s="111">
        <v>3.2</v>
      </c>
      <c r="M15" s="108" t="s">
        <v>134</v>
      </c>
      <c r="N15" s="108" t="s">
        <v>195</v>
      </c>
      <c r="O15" s="107"/>
      <c r="P15" s="107"/>
    </row>
    <row r="16">
      <c r="A16" s="108" t="s">
        <v>178</v>
      </c>
      <c r="B16" s="108" t="s">
        <v>287</v>
      </c>
      <c r="C16" s="108" t="s">
        <v>77</v>
      </c>
      <c r="D16" s="109">
        <v>28393.0</v>
      </c>
      <c r="E16" s="108" t="s">
        <v>288</v>
      </c>
      <c r="F16" s="110">
        <v>1800000.0</v>
      </c>
      <c r="G16" s="110">
        <v>1200000.0</v>
      </c>
      <c r="H16" s="110">
        <v>62.0</v>
      </c>
      <c r="I16" s="110">
        <v>28.0</v>
      </c>
      <c r="J16" s="110">
        <v>10.0</v>
      </c>
      <c r="K16" s="110">
        <v>0.0</v>
      </c>
      <c r="L16" s="111">
        <v>5.5</v>
      </c>
      <c r="M16" s="108" t="s">
        <v>134</v>
      </c>
      <c r="N16" s="108" t="s">
        <v>678</v>
      </c>
      <c r="O16" s="107"/>
      <c r="P16" s="107"/>
    </row>
    <row r="17">
      <c r="A17" s="108" t="s">
        <v>178</v>
      </c>
      <c r="B17" s="108" t="s">
        <v>290</v>
      </c>
      <c r="C17" s="108" t="s">
        <v>77</v>
      </c>
      <c r="D17" s="109">
        <v>32156.0</v>
      </c>
      <c r="E17" s="108" t="s">
        <v>291</v>
      </c>
      <c r="F17" s="110">
        <v>650000.0</v>
      </c>
      <c r="G17" s="110">
        <v>400000.0</v>
      </c>
      <c r="H17" s="110">
        <v>66.0</v>
      </c>
      <c r="I17" s="110">
        <v>24.0</v>
      </c>
      <c r="J17" s="110">
        <v>10.0</v>
      </c>
      <c r="K17" s="110">
        <v>0.0</v>
      </c>
      <c r="L17" s="111">
        <v>11.0</v>
      </c>
      <c r="M17" s="108" t="s">
        <v>134</v>
      </c>
      <c r="N17" s="108" t="s">
        <v>679</v>
      </c>
      <c r="O17" s="108"/>
      <c r="P17" s="107"/>
    </row>
    <row r="18">
      <c r="A18" s="108" t="s">
        <v>178</v>
      </c>
      <c r="B18" s="108" t="s">
        <v>293</v>
      </c>
      <c r="C18" s="108" t="s">
        <v>77</v>
      </c>
      <c r="D18" s="109">
        <v>30141.0</v>
      </c>
      <c r="E18" s="108" t="s">
        <v>294</v>
      </c>
      <c r="F18" s="110">
        <v>1450000.0</v>
      </c>
      <c r="G18" s="110">
        <v>1000000.0</v>
      </c>
      <c r="H18" s="110">
        <v>58.0</v>
      </c>
      <c r="I18" s="110">
        <v>32.0</v>
      </c>
      <c r="J18" s="110">
        <v>10.0</v>
      </c>
      <c r="K18" s="110">
        <v>0.0</v>
      </c>
      <c r="L18" s="111">
        <v>-4.5</v>
      </c>
      <c r="M18" s="108" t="s">
        <v>134</v>
      </c>
      <c r="N18" s="108" t="s">
        <v>680</v>
      </c>
      <c r="O18" s="107"/>
      <c r="P18" s="107"/>
    </row>
    <row r="19">
      <c r="A19" s="108" t="s">
        <v>178</v>
      </c>
      <c r="B19" s="108" t="s">
        <v>296</v>
      </c>
      <c r="C19" s="108" t="s">
        <v>77</v>
      </c>
      <c r="D19" s="109">
        <v>29006.0</v>
      </c>
      <c r="E19" s="108" t="s">
        <v>297</v>
      </c>
      <c r="F19" s="110">
        <v>2250000.0</v>
      </c>
      <c r="G19" s="110">
        <v>1500000.0</v>
      </c>
      <c r="H19" s="110">
        <v>63.0</v>
      </c>
      <c r="I19" s="110">
        <v>27.0</v>
      </c>
      <c r="J19" s="110">
        <v>10.0</v>
      </c>
      <c r="K19" s="110">
        <v>0.0</v>
      </c>
      <c r="L19" s="111">
        <v>6.0</v>
      </c>
      <c r="M19" s="108" t="s">
        <v>134</v>
      </c>
      <c r="N19" s="108" t="s">
        <v>681</v>
      </c>
      <c r="O19" s="107"/>
      <c r="P19" s="107"/>
    </row>
    <row r="20">
      <c r="A20" s="108" t="s">
        <v>178</v>
      </c>
      <c r="B20" s="108" t="s">
        <v>82</v>
      </c>
      <c r="C20" s="108" t="s">
        <v>83</v>
      </c>
      <c r="D20" s="109">
        <v>34978.0</v>
      </c>
      <c r="E20" s="108" t="s">
        <v>205</v>
      </c>
      <c r="F20" s="110">
        <v>325000.0</v>
      </c>
      <c r="G20" s="110">
        <v>200000.0</v>
      </c>
      <c r="H20" s="110">
        <v>80.0</v>
      </c>
      <c r="I20" s="110">
        <v>10.0</v>
      </c>
      <c r="J20" s="110">
        <v>5.0</v>
      </c>
      <c r="K20" s="110">
        <v>5.0</v>
      </c>
      <c r="L20" s="111">
        <v>5.0</v>
      </c>
      <c r="M20" s="108" t="s">
        <v>143</v>
      </c>
      <c r="N20" s="108" t="s">
        <v>206</v>
      </c>
      <c r="O20" s="107"/>
      <c r="P20" s="107"/>
    </row>
    <row r="21">
      <c r="A21" s="108" t="s">
        <v>178</v>
      </c>
      <c r="B21" s="108" t="s">
        <v>86</v>
      </c>
      <c r="C21" s="108" t="s">
        <v>83</v>
      </c>
      <c r="D21" s="109">
        <v>34087.0</v>
      </c>
      <c r="E21" s="108" t="s">
        <v>211</v>
      </c>
      <c r="F21" s="110">
        <v>875000.0</v>
      </c>
      <c r="G21" s="110">
        <v>500000.0</v>
      </c>
      <c r="H21" s="110">
        <v>88.0</v>
      </c>
      <c r="I21" s="110">
        <v>7.0</v>
      </c>
      <c r="J21" s="110">
        <v>5.0</v>
      </c>
      <c r="K21" s="110">
        <v>0.0</v>
      </c>
      <c r="L21" s="111">
        <v>8.0</v>
      </c>
      <c r="M21" s="108" t="s">
        <v>143</v>
      </c>
      <c r="N21" s="108" t="s">
        <v>682</v>
      </c>
      <c r="O21" s="108"/>
      <c r="P21" s="107"/>
    </row>
    <row r="22">
      <c r="A22" s="108" t="s">
        <v>178</v>
      </c>
      <c r="B22" s="108" t="s">
        <v>302</v>
      </c>
      <c r="C22" s="108" t="s">
        <v>83</v>
      </c>
      <c r="D22" s="109">
        <v>36146.0</v>
      </c>
      <c r="E22" s="108" t="s">
        <v>303</v>
      </c>
      <c r="F22" s="110">
        <v>450000.0</v>
      </c>
      <c r="G22" s="110">
        <v>250000.0</v>
      </c>
      <c r="H22" s="110">
        <v>92.0</v>
      </c>
      <c r="I22" s="110">
        <v>3.0</v>
      </c>
      <c r="J22" s="110">
        <v>5.0</v>
      </c>
      <c r="K22" s="110">
        <v>0.0</v>
      </c>
      <c r="L22" s="111">
        <v>15.8</v>
      </c>
      <c r="M22" s="108" t="s">
        <v>143</v>
      </c>
      <c r="N22" s="108" t="s">
        <v>683</v>
      </c>
      <c r="O22" s="107"/>
      <c r="P22" s="107"/>
    </row>
    <row r="23">
      <c r="A23" s="108" t="s">
        <v>178</v>
      </c>
      <c r="B23" s="108" t="s">
        <v>305</v>
      </c>
      <c r="C23" s="108" t="s">
        <v>83</v>
      </c>
      <c r="D23" s="109">
        <v>32926.0</v>
      </c>
      <c r="E23" s="108" t="s">
        <v>306</v>
      </c>
      <c r="F23" s="110">
        <v>1450000.0</v>
      </c>
      <c r="G23" s="110">
        <v>850000.0</v>
      </c>
      <c r="H23" s="110">
        <v>76.0</v>
      </c>
      <c r="I23" s="110">
        <v>14.0</v>
      </c>
      <c r="J23" s="110">
        <v>5.0</v>
      </c>
      <c r="K23" s="110">
        <v>5.0</v>
      </c>
      <c r="L23" s="111">
        <v>-6.5</v>
      </c>
      <c r="M23" s="108" t="s">
        <v>143</v>
      </c>
      <c r="N23" s="108" t="s">
        <v>684</v>
      </c>
      <c r="O23" s="107"/>
      <c r="P23" s="107"/>
    </row>
    <row r="24">
      <c r="A24" s="108" t="s">
        <v>178</v>
      </c>
      <c r="B24" s="108" t="s">
        <v>307</v>
      </c>
      <c r="C24" s="108" t="s">
        <v>83</v>
      </c>
      <c r="D24" s="109">
        <v>35288.0</v>
      </c>
      <c r="E24" s="108" t="s">
        <v>308</v>
      </c>
      <c r="F24" s="110">
        <v>2200000.0</v>
      </c>
      <c r="G24" s="110">
        <v>1200000.0</v>
      </c>
      <c r="H24" s="110">
        <v>85.0</v>
      </c>
      <c r="I24" s="110">
        <v>10.0</v>
      </c>
      <c r="J24" s="110">
        <v>5.0</v>
      </c>
      <c r="K24" s="110">
        <v>0.0</v>
      </c>
      <c r="L24" s="111">
        <v>7.5</v>
      </c>
      <c r="M24" s="108" t="s">
        <v>143</v>
      </c>
      <c r="N24" s="108" t="s">
        <v>685</v>
      </c>
      <c r="O24" s="108"/>
      <c r="P24" s="107"/>
    </row>
    <row r="25">
      <c r="A25" s="108" t="s">
        <v>178</v>
      </c>
      <c r="B25" s="108" t="s">
        <v>88</v>
      </c>
      <c r="C25" s="108" t="s">
        <v>89</v>
      </c>
      <c r="D25" s="109">
        <v>22040.0</v>
      </c>
      <c r="E25" s="108" t="s">
        <v>216</v>
      </c>
      <c r="F25" s="110">
        <v>1100000.0</v>
      </c>
      <c r="G25" s="110">
        <v>850000.0</v>
      </c>
      <c r="H25" s="110">
        <v>30.0</v>
      </c>
      <c r="I25" s="110">
        <v>55.0</v>
      </c>
      <c r="J25" s="110">
        <v>15.0</v>
      </c>
      <c r="K25" s="110">
        <v>0.0</v>
      </c>
      <c r="L25" s="111">
        <v>3.5</v>
      </c>
      <c r="M25" s="108" t="s">
        <v>124</v>
      </c>
      <c r="N25" s="108" t="s">
        <v>217</v>
      </c>
      <c r="O25" s="108"/>
      <c r="P25" s="107"/>
    </row>
    <row r="26">
      <c r="A26" s="108" t="s">
        <v>178</v>
      </c>
      <c r="B26" s="108" t="s">
        <v>92</v>
      </c>
      <c r="C26" s="108" t="s">
        <v>89</v>
      </c>
      <c r="D26" s="109">
        <v>21078.0</v>
      </c>
      <c r="E26" s="108" t="s">
        <v>222</v>
      </c>
      <c r="F26" s="110">
        <v>1650000.0</v>
      </c>
      <c r="G26" s="110">
        <v>1250000.0</v>
      </c>
      <c r="H26" s="110">
        <v>36.0</v>
      </c>
      <c r="I26" s="110">
        <v>49.0</v>
      </c>
      <c r="J26" s="110">
        <v>15.0</v>
      </c>
      <c r="K26" s="110">
        <v>0.0</v>
      </c>
      <c r="L26" s="111">
        <v>5.0</v>
      </c>
      <c r="M26" s="108" t="s">
        <v>124</v>
      </c>
      <c r="N26" s="108" t="s">
        <v>223</v>
      </c>
      <c r="O26" s="107"/>
      <c r="P26" s="107"/>
    </row>
    <row r="27">
      <c r="A27" s="108" t="s">
        <v>178</v>
      </c>
      <c r="B27" s="108" t="s">
        <v>93</v>
      </c>
      <c r="C27" s="108" t="s">
        <v>89</v>
      </c>
      <c r="D27" s="109">
        <v>22654.0</v>
      </c>
      <c r="E27" s="108" t="s">
        <v>224</v>
      </c>
      <c r="F27" s="110">
        <v>780000.0</v>
      </c>
      <c r="G27" s="110">
        <v>600000.0</v>
      </c>
      <c r="H27" s="110">
        <v>42.0</v>
      </c>
      <c r="I27" s="110">
        <v>43.0</v>
      </c>
      <c r="J27" s="110">
        <v>15.0</v>
      </c>
      <c r="K27" s="110">
        <v>0.0</v>
      </c>
      <c r="L27" s="111">
        <v>9.5</v>
      </c>
      <c r="M27" s="108" t="s">
        <v>124</v>
      </c>
      <c r="N27" s="108" t="s">
        <v>225</v>
      </c>
      <c r="O27" s="107"/>
      <c r="P27" s="107"/>
    </row>
    <row r="28">
      <c r="A28" s="108" t="s">
        <v>178</v>
      </c>
      <c r="B28" s="108" t="s">
        <v>313</v>
      </c>
      <c r="C28" s="108" t="s">
        <v>89</v>
      </c>
      <c r="D28" s="109">
        <v>21885.0</v>
      </c>
      <c r="E28" s="108" t="s">
        <v>314</v>
      </c>
      <c r="F28" s="110">
        <v>925000.0</v>
      </c>
      <c r="G28" s="110">
        <v>700000.0</v>
      </c>
      <c r="H28" s="110">
        <v>28.0</v>
      </c>
      <c r="I28" s="110">
        <v>57.0</v>
      </c>
      <c r="J28" s="110">
        <v>15.0</v>
      </c>
      <c r="K28" s="110">
        <v>0.0</v>
      </c>
      <c r="L28" s="111">
        <v>-4.2</v>
      </c>
      <c r="M28" s="108" t="s">
        <v>124</v>
      </c>
      <c r="N28" s="108" t="s">
        <v>686</v>
      </c>
      <c r="O28" s="107"/>
      <c r="P28" s="107"/>
    </row>
    <row r="29">
      <c r="A29" s="108" t="s">
        <v>178</v>
      </c>
      <c r="B29" s="108" t="s">
        <v>316</v>
      </c>
      <c r="C29" s="108" t="s">
        <v>89</v>
      </c>
      <c r="D29" s="109">
        <v>23218.0</v>
      </c>
      <c r="E29" s="108" t="s">
        <v>317</v>
      </c>
      <c r="F29" s="110">
        <v>2500000.0</v>
      </c>
      <c r="G29" s="110">
        <v>1800000.0</v>
      </c>
      <c r="H29" s="110">
        <v>32.0</v>
      </c>
      <c r="I29" s="110">
        <v>53.0</v>
      </c>
      <c r="J29" s="110">
        <v>15.0</v>
      </c>
      <c r="K29" s="110">
        <v>0.0</v>
      </c>
      <c r="L29" s="111">
        <v>1.8</v>
      </c>
      <c r="M29" s="108" t="s">
        <v>124</v>
      </c>
      <c r="N29" s="108" t="s">
        <v>687</v>
      </c>
      <c r="O29" s="107"/>
      <c r="P29" s="107"/>
    </row>
    <row r="30">
      <c r="A30" s="108" t="s">
        <v>178</v>
      </c>
      <c r="B30" s="108" t="s">
        <v>94</v>
      </c>
      <c r="C30" s="108" t="s">
        <v>95</v>
      </c>
      <c r="D30" s="109">
        <v>19065.0</v>
      </c>
      <c r="E30" s="108" t="s">
        <v>226</v>
      </c>
      <c r="F30" s="110">
        <v>1800000.0</v>
      </c>
      <c r="G30" s="110">
        <v>1300000.0</v>
      </c>
      <c r="H30" s="110">
        <v>40.0</v>
      </c>
      <c r="I30" s="110">
        <v>50.0</v>
      </c>
      <c r="J30" s="110">
        <v>10.0</v>
      </c>
      <c r="K30" s="110">
        <v>0.0</v>
      </c>
      <c r="L30" s="111">
        <v>2.0</v>
      </c>
      <c r="M30" s="108" t="s">
        <v>124</v>
      </c>
      <c r="N30" s="108" t="s">
        <v>227</v>
      </c>
      <c r="O30" s="108"/>
      <c r="P30" s="107"/>
    </row>
    <row r="31">
      <c r="A31" s="108" t="s">
        <v>178</v>
      </c>
      <c r="B31" s="108" t="s">
        <v>98</v>
      </c>
      <c r="C31" s="108" t="s">
        <v>95</v>
      </c>
      <c r="D31" s="109">
        <v>18443.0</v>
      </c>
      <c r="E31" s="108" t="s">
        <v>232</v>
      </c>
      <c r="F31" s="110">
        <v>2400000.0</v>
      </c>
      <c r="G31" s="110">
        <v>1800000.0</v>
      </c>
      <c r="H31" s="110">
        <v>48.0</v>
      </c>
      <c r="I31" s="110">
        <v>42.0</v>
      </c>
      <c r="J31" s="110">
        <v>10.0</v>
      </c>
      <c r="K31" s="110">
        <v>0.0</v>
      </c>
      <c r="L31" s="111">
        <v>4.5</v>
      </c>
      <c r="M31" s="108" t="s">
        <v>124</v>
      </c>
      <c r="N31" s="108" t="s">
        <v>233</v>
      </c>
      <c r="O31" s="108"/>
      <c r="P31" s="107"/>
    </row>
    <row r="32">
      <c r="A32" s="108" t="s">
        <v>178</v>
      </c>
      <c r="B32" s="108" t="s">
        <v>99</v>
      </c>
      <c r="C32" s="108" t="s">
        <v>95</v>
      </c>
      <c r="D32" s="109">
        <v>17851.0</v>
      </c>
      <c r="E32" s="108" t="s">
        <v>234</v>
      </c>
      <c r="F32" s="110">
        <v>950000.0</v>
      </c>
      <c r="G32" s="110">
        <v>750000.0</v>
      </c>
      <c r="H32" s="110">
        <v>56.0</v>
      </c>
      <c r="I32" s="110">
        <v>34.0</v>
      </c>
      <c r="J32" s="110">
        <v>10.0</v>
      </c>
      <c r="K32" s="110">
        <v>0.0</v>
      </c>
      <c r="L32" s="111">
        <v>9.2</v>
      </c>
      <c r="M32" s="108" t="s">
        <v>124</v>
      </c>
      <c r="N32" s="108" t="s">
        <v>688</v>
      </c>
      <c r="O32" s="107"/>
      <c r="P32" s="107"/>
    </row>
    <row r="33">
      <c r="A33" s="108" t="s">
        <v>178</v>
      </c>
      <c r="B33" s="108" t="s">
        <v>321</v>
      </c>
      <c r="C33" s="108" t="s">
        <v>95</v>
      </c>
      <c r="D33" s="109">
        <v>19763.0</v>
      </c>
      <c r="E33" s="108" t="s">
        <v>322</v>
      </c>
      <c r="F33" s="110">
        <v>1350000.0</v>
      </c>
      <c r="G33" s="110">
        <v>1000000.0</v>
      </c>
      <c r="H33" s="110">
        <v>38.0</v>
      </c>
      <c r="I33" s="110">
        <v>52.0</v>
      </c>
      <c r="J33" s="110">
        <v>10.0</v>
      </c>
      <c r="K33" s="110">
        <v>0.0</v>
      </c>
      <c r="L33" s="111">
        <v>-3.5</v>
      </c>
      <c r="M33" s="108" t="s">
        <v>124</v>
      </c>
      <c r="N33" s="108" t="s">
        <v>689</v>
      </c>
      <c r="O33" s="107"/>
      <c r="P33" s="107"/>
    </row>
    <row r="34">
      <c r="A34" s="108" t="s">
        <v>178</v>
      </c>
      <c r="B34" s="108" t="s">
        <v>324</v>
      </c>
      <c r="C34" s="108" t="s">
        <v>95</v>
      </c>
      <c r="D34" s="109">
        <v>18857.0</v>
      </c>
      <c r="E34" s="108" t="s">
        <v>325</v>
      </c>
      <c r="F34" s="110">
        <v>3100000.0</v>
      </c>
      <c r="G34" s="110">
        <v>2200000.0</v>
      </c>
      <c r="H34" s="110">
        <v>45.0</v>
      </c>
      <c r="I34" s="110">
        <v>45.0</v>
      </c>
      <c r="J34" s="110">
        <v>10.0</v>
      </c>
      <c r="K34" s="110">
        <v>0.0</v>
      </c>
      <c r="L34" s="111">
        <v>1.0</v>
      </c>
      <c r="M34" s="108" t="s">
        <v>124</v>
      </c>
      <c r="N34" s="108" t="s">
        <v>690</v>
      </c>
      <c r="O34" s="107"/>
      <c r="P34" s="107"/>
    </row>
    <row r="35">
      <c r="A35" s="108" t="s">
        <v>178</v>
      </c>
      <c r="B35" s="108" t="s">
        <v>100</v>
      </c>
      <c r="C35" s="108" t="s">
        <v>101</v>
      </c>
      <c r="D35" s="109">
        <v>26404.0</v>
      </c>
      <c r="E35" s="108" t="s">
        <v>236</v>
      </c>
      <c r="F35" s="110">
        <v>1.25E7</v>
      </c>
      <c r="G35" s="110">
        <v>8500000.0</v>
      </c>
      <c r="H35" s="110">
        <v>55.0</v>
      </c>
      <c r="I35" s="110">
        <v>20.0</v>
      </c>
      <c r="J35" s="110">
        <v>5.0</v>
      </c>
      <c r="K35" s="110">
        <v>20.0</v>
      </c>
      <c r="L35" s="111">
        <v>4.0</v>
      </c>
      <c r="M35" s="108" t="s">
        <v>134</v>
      </c>
      <c r="N35" s="108" t="s">
        <v>237</v>
      </c>
      <c r="O35" s="108"/>
      <c r="P35" s="107"/>
    </row>
    <row r="36">
      <c r="A36" s="108" t="s">
        <v>178</v>
      </c>
      <c r="B36" s="108" t="s">
        <v>104</v>
      </c>
      <c r="C36" s="108" t="s">
        <v>101</v>
      </c>
      <c r="D36" s="109">
        <v>25083.0</v>
      </c>
      <c r="E36" s="108" t="s">
        <v>242</v>
      </c>
      <c r="F36" s="110">
        <v>1.875E7</v>
      </c>
      <c r="G36" s="110">
        <v>1.2E7</v>
      </c>
      <c r="H36" s="110">
        <v>62.0</v>
      </c>
      <c r="I36" s="110">
        <v>15.0</v>
      </c>
      <c r="J36" s="110">
        <v>3.0</v>
      </c>
      <c r="K36" s="110">
        <v>20.0</v>
      </c>
      <c r="L36" s="111">
        <v>6.5</v>
      </c>
      <c r="M36" s="108" t="s">
        <v>134</v>
      </c>
      <c r="N36" s="108" t="s">
        <v>243</v>
      </c>
      <c r="O36" s="107"/>
      <c r="P36" s="107"/>
    </row>
    <row r="37">
      <c r="A37" s="108" t="s">
        <v>178</v>
      </c>
      <c r="B37" s="108" t="s">
        <v>105</v>
      </c>
      <c r="C37" s="108" t="s">
        <v>101</v>
      </c>
      <c r="D37" s="109">
        <v>27421.0</v>
      </c>
      <c r="E37" s="108" t="s">
        <v>244</v>
      </c>
      <c r="F37" s="110">
        <v>9500000.0</v>
      </c>
      <c r="G37" s="110">
        <v>6500000.0</v>
      </c>
      <c r="H37" s="110">
        <v>70.0</v>
      </c>
      <c r="I37" s="110">
        <v>10.0</v>
      </c>
      <c r="J37" s="110">
        <v>5.0</v>
      </c>
      <c r="K37" s="110">
        <v>15.0</v>
      </c>
      <c r="L37" s="111">
        <v>12.8</v>
      </c>
      <c r="M37" s="108" t="s">
        <v>134</v>
      </c>
      <c r="N37" s="108" t="s">
        <v>245</v>
      </c>
      <c r="O37" s="107"/>
      <c r="P37" s="107"/>
    </row>
    <row r="38">
      <c r="A38" s="108" t="s">
        <v>178</v>
      </c>
      <c r="B38" s="108" t="s">
        <v>330</v>
      </c>
      <c r="C38" s="108" t="s">
        <v>101</v>
      </c>
      <c r="D38" s="109">
        <v>25913.0</v>
      </c>
      <c r="E38" s="108" t="s">
        <v>331</v>
      </c>
      <c r="F38" s="110">
        <v>2.2E7</v>
      </c>
      <c r="G38" s="110">
        <v>1.5E7</v>
      </c>
      <c r="H38" s="110">
        <v>58.0</v>
      </c>
      <c r="I38" s="110">
        <v>17.0</v>
      </c>
      <c r="J38" s="110">
        <v>5.0</v>
      </c>
      <c r="K38" s="110">
        <v>20.0</v>
      </c>
      <c r="L38" s="111">
        <v>-5.8</v>
      </c>
      <c r="M38" s="108" t="s">
        <v>134</v>
      </c>
      <c r="N38" s="108" t="s">
        <v>691</v>
      </c>
      <c r="O38" s="107"/>
      <c r="P38" s="107"/>
    </row>
    <row r="39">
      <c r="A39" s="108" t="s">
        <v>178</v>
      </c>
      <c r="B39" s="108" t="s">
        <v>333</v>
      </c>
      <c r="C39" s="108" t="s">
        <v>101</v>
      </c>
      <c r="D39" s="109">
        <v>24261.0</v>
      </c>
      <c r="E39" s="108" t="s">
        <v>334</v>
      </c>
      <c r="F39" s="110">
        <v>1.45E7</v>
      </c>
      <c r="G39" s="110">
        <v>1.0E7</v>
      </c>
      <c r="H39" s="110">
        <v>64.0</v>
      </c>
      <c r="I39" s="110">
        <v>11.0</v>
      </c>
      <c r="J39" s="110">
        <v>5.0</v>
      </c>
      <c r="K39" s="110">
        <v>20.0</v>
      </c>
      <c r="L39" s="111">
        <v>7.0</v>
      </c>
      <c r="M39" s="108" t="s">
        <v>134</v>
      </c>
      <c r="N39" s="108" t="s">
        <v>692</v>
      </c>
      <c r="O39" s="108"/>
      <c r="P39" s="107"/>
    </row>
    <row r="40">
      <c r="A40" s="108" t="s">
        <v>185</v>
      </c>
      <c r="B40" s="108" t="s">
        <v>348</v>
      </c>
      <c r="C40" s="108" t="s">
        <v>71</v>
      </c>
      <c r="D40" s="109">
        <v>21287.0</v>
      </c>
      <c r="E40" s="108" t="s">
        <v>349</v>
      </c>
      <c r="F40" s="110">
        <v>485000.0</v>
      </c>
      <c r="G40" s="110">
        <v>450000.0</v>
      </c>
      <c r="H40" s="110">
        <v>16.0</v>
      </c>
      <c r="I40" s="110">
        <v>74.0</v>
      </c>
      <c r="J40" s="110">
        <v>10.0</v>
      </c>
      <c r="K40" s="110">
        <v>0.0</v>
      </c>
      <c r="L40" s="111">
        <v>0.0</v>
      </c>
      <c r="M40" s="108" t="s">
        <v>124</v>
      </c>
      <c r="N40" s="108" t="s">
        <v>693</v>
      </c>
      <c r="O40" s="108"/>
      <c r="P40" s="108"/>
    </row>
    <row r="41">
      <c r="A41" s="108" t="s">
        <v>185</v>
      </c>
      <c r="B41" s="108" t="s">
        <v>73</v>
      </c>
      <c r="C41" s="108" t="s">
        <v>71</v>
      </c>
      <c r="D41" s="109">
        <v>23337.0</v>
      </c>
      <c r="E41" s="108" t="s">
        <v>186</v>
      </c>
      <c r="F41" s="110">
        <v>1250000.0</v>
      </c>
      <c r="G41" s="110">
        <v>1200000.0</v>
      </c>
      <c r="H41" s="110">
        <v>22.5</v>
      </c>
      <c r="I41" s="110">
        <v>70.0</v>
      </c>
      <c r="J41" s="110">
        <v>7.5</v>
      </c>
      <c r="K41" s="110">
        <v>0.0</v>
      </c>
      <c r="L41" s="111">
        <v>3.5</v>
      </c>
      <c r="M41" s="108" t="s">
        <v>134</v>
      </c>
      <c r="N41" s="108" t="s">
        <v>187</v>
      </c>
      <c r="O41" s="108"/>
      <c r="P41" s="108"/>
    </row>
    <row r="42">
      <c r="A42" s="108" t="s">
        <v>185</v>
      </c>
      <c r="B42" s="108" t="s">
        <v>75</v>
      </c>
      <c r="C42" s="108" t="s">
        <v>71</v>
      </c>
      <c r="D42" s="109">
        <v>26150.0</v>
      </c>
      <c r="E42" s="108" t="s">
        <v>260</v>
      </c>
      <c r="F42" s="110">
        <v>310000.0</v>
      </c>
      <c r="G42" s="110">
        <v>300000.0</v>
      </c>
      <c r="H42" s="110">
        <v>26.5</v>
      </c>
      <c r="I42" s="110">
        <v>65.0</v>
      </c>
      <c r="J42" s="110">
        <v>8.5</v>
      </c>
      <c r="K42" s="110">
        <v>0.0</v>
      </c>
      <c r="L42" s="111">
        <v>7.5</v>
      </c>
      <c r="M42" s="108" t="s">
        <v>143</v>
      </c>
      <c r="N42" s="108" t="s">
        <v>192</v>
      </c>
      <c r="O42" s="108"/>
      <c r="P42" s="108"/>
    </row>
    <row r="43">
      <c r="A43" s="108" t="s">
        <v>185</v>
      </c>
      <c r="B43" s="108" t="s">
        <v>359</v>
      </c>
      <c r="C43" s="108" t="s">
        <v>71</v>
      </c>
      <c r="D43" s="109">
        <v>20167.0</v>
      </c>
      <c r="E43" s="108" t="s">
        <v>360</v>
      </c>
      <c r="F43" s="110">
        <v>810000.0</v>
      </c>
      <c r="G43" s="110">
        <v>850000.0</v>
      </c>
      <c r="H43" s="110">
        <v>11.0</v>
      </c>
      <c r="I43" s="110">
        <v>82.0</v>
      </c>
      <c r="J43" s="110">
        <v>7.0</v>
      </c>
      <c r="K43" s="110">
        <v>0.0</v>
      </c>
      <c r="L43" s="111">
        <v>-6.0</v>
      </c>
      <c r="M43" s="108" t="s">
        <v>134</v>
      </c>
      <c r="N43" s="108" t="s">
        <v>694</v>
      </c>
      <c r="O43" s="108"/>
      <c r="P43" s="108"/>
    </row>
    <row r="44">
      <c r="A44" s="108" t="s">
        <v>185</v>
      </c>
      <c r="B44" s="108" t="s">
        <v>363</v>
      </c>
      <c r="C44" s="108" t="s">
        <v>71</v>
      </c>
      <c r="D44" s="109">
        <v>18171.0</v>
      </c>
      <c r="E44" s="108" t="s">
        <v>364</v>
      </c>
      <c r="F44" s="110">
        <v>195000.0</v>
      </c>
      <c r="G44" s="110">
        <v>200000.0</v>
      </c>
      <c r="H44" s="110">
        <v>8.0</v>
      </c>
      <c r="I44" s="110">
        <v>80.0</v>
      </c>
      <c r="J44" s="110">
        <v>12.0</v>
      </c>
      <c r="K44" s="110">
        <v>0.0</v>
      </c>
      <c r="L44" s="111">
        <v>-9.0</v>
      </c>
      <c r="M44" s="108" t="s">
        <v>143</v>
      </c>
      <c r="N44" s="108" t="s">
        <v>695</v>
      </c>
      <c r="O44" s="108"/>
      <c r="P44" s="108"/>
    </row>
    <row r="45">
      <c r="A45" s="108" t="s">
        <v>185</v>
      </c>
      <c r="B45" s="108" t="s">
        <v>367</v>
      </c>
      <c r="C45" s="108" t="s">
        <v>89</v>
      </c>
      <c r="D45" s="109">
        <v>24667.0</v>
      </c>
      <c r="E45" s="108" t="s">
        <v>368</v>
      </c>
      <c r="F45" s="110">
        <v>640000.0</v>
      </c>
      <c r="G45" s="110">
        <v>600000.0</v>
      </c>
      <c r="H45" s="110">
        <v>28.0</v>
      </c>
      <c r="I45" s="110">
        <v>62.0</v>
      </c>
      <c r="J45" s="110">
        <v>10.0</v>
      </c>
      <c r="K45" s="110">
        <v>0.0</v>
      </c>
      <c r="L45" s="111">
        <v>0.0</v>
      </c>
      <c r="M45" s="108" t="s">
        <v>124</v>
      </c>
      <c r="N45" s="108" t="s">
        <v>696</v>
      </c>
      <c r="O45" s="108"/>
      <c r="P45" s="108"/>
    </row>
    <row r="46">
      <c r="A46" s="108" t="s">
        <v>185</v>
      </c>
      <c r="B46" s="108" t="s">
        <v>91</v>
      </c>
      <c r="C46" s="108" t="s">
        <v>89</v>
      </c>
      <c r="D46" s="109">
        <v>27669.0</v>
      </c>
      <c r="E46" s="108" t="s">
        <v>220</v>
      </c>
      <c r="F46" s="110">
        <v>1020000.0</v>
      </c>
      <c r="G46" s="110">
        <v>950000.0</v>
      </c>
      <c r="H46" s="110">
        <v>39.5</v>
      </c>
      <c r="I46" s="110">
        <v>55.0</v>
      </c>
      <c r="J46" s="110">
        <v>5.5</v>
      </c>
      <c r="K46" s="110">
        <v>0.0</v>
      </c>
      <c r="L46" s="111">
        <v>4.5</v>
      </c>
      <c r="M46" s="108" t="s">
        <v>134</v>
      </c>
      <c r="N46" s="108" t="s">
        <v>221</v>
      </c>
      <c r="O46" s="108"/>
      <c r="P46" s="108"/>
    </row>
    <row r="47">
      <c r="A47" s="108" t="s">
        <v>185</v>
      </c>
      <c r="B47" s="108" t="s">
        <v>373</v>
      </c>
      <c r="C47" s="108" t="s">
        <v>89</v>
      </c>
      <c r="D47" s="109">
        <v>21940.0</v>
      </c>
      <c r="E47" s="108" t="s">
        <v>374</v>
      </c>
      <c r="F47" s="110">
        <v>390000.0</v>
      </c>
      <c r="G47" s="110">
        <v>400000.0</v>
      </c>
      <c r="H47" s="110">
        <v>11.0</v>
      </c>
      <c r="I47" s="110">
        <v>84.0</v>
      </c>
      <c r="J47" s="110">
        <v>5.0</v>
      </c>
      <c r="K47" s="110">
        <v>0.0</v>
      </c>
      <c r="L47" s="111">
        <v>-9.0</v>
      </c>
      <c r="M47" s="108" t="s">
        <v>143</v>
      </c>
      <c r="N47" s="108" t="s">
        <v>697</v>
      </c>
      <c r="O47" s="108"/>
      <c r="P47" s="108"/>
    </row>
    <row r="48">
      <c r="A48" s="108" t="s">
        <v>185</v>
      </c>
      <c r="B48" s="108" t="s">
        <v>377</v>
      </c>
      <c r="C48" s="108" t="s">
        <v>89</v>
      </c>
      <c r="D48" s="109">
        <v>30083.0</v>
      </c>
      <c r="E48" s="108" t="s">
        <v>378</v>
      </c>
      <c r="F48" s="110">
        <v>1650000.0</v>
      </c>
      <c r="G48" s="110">
        <v>1500000.0</v>
      </c>
      <c r="H48" s="110">
        <v>44.0</v>
      </c>
      <c r="I48" s="110">
        <v>52.0</v>
      </c>
      <c r="J48" s="110">
        <v>4.0</v>
      </c>
      <c r="K48" s="110">
        <v>0.0</v>
      </c>
      <c r="L48" s="111">
        <v>9.0</v>
      </c>
      <c r="M48" s="108" t="s">
        <v>143</v>
      </c>
      <c r="N48" s="108" t="s">
        <v>698</v>
      </c>
      <c r="O48" s="108"/>
      <c r="P48" s="108"/>
    </row>
    <row r="49">
      <c r="A49" s="108" t="s">
        <v>185</v>
      </c>
      <c r="B49" s="108" t="s">
        <v>381</v>
      </c>
      <c r="C49" s="108" t="s">
        <v>89</v>
      </c>
      <c r="D49" s="109">
        <v>25910.0</v>
      </c>
      <c r="E49" s="108" t="s">
        <v>382</v>
      </c>
      <c r="F49" s="110">
        <v>780000.0</v>
      </c>
      <c r="G49" s="110">
        <v>750000.0</v>
      </c>
      <c r="H49" s="110">
        <v>30.0</v>
      </c>
      <c r="I49" s="110">
        <v>65.0</v>
      </c>
      <c r="J49" s="110">
        <v>5.0</v>
      </c>
      <c r="K49" s="110">
        <v>0.0</v>
      </c>
      <c r="L49" s="111">
        <v>0.0</v>
      </c>
      <c r="M49" s="108" t="s">
        <v>124</v>
      </c>
      <c r="N49" s="108" t="s">
        <v>699</v>
      </c>
      <c r="O49" s="108"/>
      <c r="P49" s="108"/>
    </row>
    <row r="50">
      <c r="A50" s="108" t="s">
        <v>185</v>
      </c>
      <c r="B50" s="108" t="s">
        <v>385</v>
      </c>
      <c r="C50" s="108" t="s">
        <v>95</v>
      </c>
      <c r="D50" s="109">
        <v>22340.0</v>
      </c>
      <c r="E50" s="108" t="s">
        <v>386</v>
      </c>
      <c r="F50" s="110">
        <v>1150000.0</v>
      </c>
      <c r="G50" s="110">
        <v>1100000.0</v>
      </c>
      <c r="H50" s="110">
        <v>45.0</v>
      </c>
      <c r="I50" s="110">
        <v>40.0</v>
      </c>
      <c r="J50" s="110">
        <v>15.0</v>
      </c>
      <c r="K50" s="110">
        <v>0.0</v>
      </c>
      <c r="L50" s="111">
        <v>0.0</v>
      </c>
      <c r="M50" s="108" t="s">
        <v>124</v>
      </c>
      <c r="N50" s="108" t="s">
        <v>700</v>
      </c>
      <c r="O50" s="108"/>
      <c r="P50" s="108"/>
    </row>
    <row r="51">
      <c r="A51" s="108" t="s">
        <v>185</v>
      </c>
      <c r="B51" s="108" t="s">
        <v>97</v>
      </c>
      <c r="C51" s="108" t="s">
        <v>95</v>
      </c>
      <c r="D51" s="109">
        <v>21776.0</v>
      </c>
      <c r="E51" s="108" t="s">
        <v>230</v>
      </c>
      <c r="F51" s="110">
        <v>860000.0</v>
      </c>
      <c r="G51" s="110">
        <v>800000.0</v>
      </c>
      <c r="H51" s="110">
        <v>54.0</v>
      </c>
      <c r="I51" s="110">
        <v>36.0</v>
      </c>
      <c r="J51" s="110">
        <v>10.0</v>
      </c>
      <c r="K51" s="110">
        <v>0.0</v>
      </c>
      <c r="L51" s="111">
        <v>4.0</v>
      </c>
      <c r="M51" s="108" t="s">
        <v>134</v>
      </c>
      <c r="N51" s="108" t="s">
        <v>231</v>
      </c>
      <c r="O51" s="108"/>
      <c r="P51" s="108"/>
    </row>
    <row r="52">
      <c r="A52" s="108" t="s">
        <v>185</v>
      </c>
      <c r="B52" s="108" t="s">
        <v>391</v>
      </c>
      <c r="C52" s="108" t="s">
        <v>95</v>
      </c>
      <c r="D52" s="109">
        <v>21127.0</v>
      </c>
      <c r="E52" s="108" t="s">
        <v>392</v>
      </c>
      <c r="F52" s="110">
        <v>2550000.0</v>
      </c>
      <c r="G52" s="110">
        <v>2400000.0</v>
      </c>
      <c r="H52" s="110">
        <v>59.5</v>
      </c>
      <c r="I52" s="110">
        <v>32.5</v>
      </c>
      <c r="J52" s="110">
        <v>8.0</v>
      </c>
      <c r="K52" s="110">
        <v>0.0</v>
      </c>
      <c r="L52" s="111">
        <v>9.5</v>
      </c>
      <c r="M52" s="108" t="s">
        <v>143</v>
      </c>
      <c r="N52" s="108" t="s">
        <v>701</v>
      </c>
      <c r="O52" s="108"/>
      <c r="P52" s="108"/>
    </row>
    <row r="53">
      <c r="A53" s="108" t="s">
        <v>185</v>
      </c>
      <c r="B53" s="108" t="s">
        <v>395</v>
      </c>
      <c r="C53" s="108" t="s">
        <v>95</v>
      </c>
      <c r="D53" s="109">
        <v>22818.0</v>
      </c>
      <c r="E53" s="108" t="s">
        <v>396</v>
      </c>
      <c r="F53" s="110">
        <v>620000.0</v>
      </c>
      <c r="G53" s="110">
        <v>650000.0</v>
      </c>
      <c r="H53" s="110">
        <v>31.0</v>
      </c>
      <c r="I53" s="110">
        <v>54.0</v>
      </c>
      <c r="J53" s="110">
        <v>15.0</v>
      </c>
      <c r="K53" s="110">
        <v>0.0</v>
      </c>
      <c r="L53" s="111">
        <v>-4.0</v>
      </c>
      <c r="M53" s="108" t="s">
        <v>134</v>
      </c>
      <c r="N53" s="108" t="s">
        <v>702</v>
      </c>
      <c r="O53" s="108"/>
      <c r="P53" s="108"/>
    </row>
    <row r="54">
      <c r="A54" s="108" t="s">
        <v>185</v>
      </c>
      <c r="B54" s="108" t="s">
        <v>399</v>
      </c>
      <c r="C54" s="108" t="s">
        <v>95</v>
      </c>
      <c r="D54" s="109">
        <v>23629.0</v>
      </c>
      <c r="E54" s="108" t="s">
        <v>400</v>
      </c>
      <c r="F54" s="110">
        <v>3300000.0</v>
      </c>
      <c r="G54" s="110">
        <v>3500000.0</v>
      </c>
      <c r="H54" s="110">
        <v>21.0</v>
      </c>
      <c r="I54" s="110">
        <v>64.0</v>
      </c>
      <c r="J54" s="110">
        <v>15.0</v>
      </c>
      <c r="K54" s="110">
        <v>0.0</v>
      </c>
      <c r="L54" s="111">
        <v>-9.0</v>
      </c>
      <c r="M54" s="108" t="s">
        <v>143</v>
      </c>
      <c r="N54" s="108" t="s">
        <v>703</v>
      </c>
      <c r="O54" s="108"/>
      <c r="P54" s="108"/>
    </row>
    <row r="55">
      <c r="A55" s="108" t="s">
        <v>185</v>
      </c>
      <c r="B55" s="108" t="s">
        <v>403</v>
      </c>
      <c r="C55" s="108" t="s">
        <v>77</v>
      </c>
      <c r="D55" s="109">
        <v>29355.0</v>
      </c>
      <c r="E55" s="108" t="s">
        <v>404</v>
      </c>
      <c r="F55" s="110">
        <v>580000.0</v>
      </c>
      <c r="G55" s="110">
        <v>500000.0</v>
      </c>
      <c r="H55" s="110">
        <v>55.0</v>
      </c>
      <c r="I55" s="110">
        <v>40.0</v>
      </c>
      <c r="J55" s="110">
        <v>5.0</v>
      </c>
      <c r="K55" s="110">
        <v>0.0</v>
      </c>
      <c r="L55" s="111">
        <v>0.0</v>
      </c>
      <c r="M55" s="108" t="s">
        <v>124</v>
      </c>
      <c r="N55" s="108" t="s">
        <v>704</v>
      </c>
      <c r="O55" s="108"/>
      <c r="P55" s="108"/>
    </row>
    <row r="56">
      <c r="A56" s="108" t="s">
        <v>185</v>
      </c>
      <c r="B56" s="108" t="s">
        <v>80</v>
      </c>
      <c r="C56" s="108" t="s">
        <v>77</v>
      </c>
      <c r="D56" s="109">
        <v>31342.0</v>
      </c>
      <c r="E56" s="108" t="s">
        <v>201</v>
      </c>
      <c r="F56" s="110">
        <v>290000.0</v>
      </c>
      <c r="G56" s="110">
        <v>250000.0</v>
      </c>
      <c r="H56" s="110">
        <v>61.0</v>
      </c>
      <c r="I56" s="110">
        <v>34.0</v>
      </c>
      <c r="J56" s="110">
        <v>5.0</v>
      </c>
      <c r="K56" s="110">
        <v>0.0</v>
      </c>
      <c r="L56" s="111">
        <v>6.0</v>
      </c>
      <c r="M56" s="108" t="s">
        <v>134</v>
      </c>
      <c r="N56" s="108" t="s">
        <v>202</v>
      </c>
      <c r="O56" s="108"/>
      <c r="P56" s="108"/>
    </row>
    <row r="57">
      <c r="A57" s="108" t="s">
        <v>185</v>
      </c>
      <c r="B57" s="108" t="s">
        <v>81</v>
      </c>
      <c r="C57" s="108" t="s">
        <v>77</v>
      </c>
      <c r="D57" s="109">
        <v>27097.0</v>
      </c>
      <c r="E57" s="108" t="s">
        <v>262</v>
      </c>
      <c r="F57" s="110">
        <v>1250000.0</v>
      </c>
      <c r="G57" s="110">
        <v>1100000.0</v>
      </c>
      <c r="H57" s="110">
        <v>66.5</v>
      </c>
      <c r="I57" s="110">
        <v>30.0</v>
      </c>
      <c r="J57" s="110">
        <v>3.5</v>
      </c>
      <c r="K57" s="110">
        <v>0.0</v>
      </c>
      <c r="L57" s="111">
        <v>11.5</v>
      </c>
      <c r="M57" s="108" t="s">
        <v>143</v>
      </c>
      <c r="N57" s="108" t="s">
        <v>204</v>
      </c>
      <c r="O57" s="108"/>
      <c r="P57" s="108"/>
    </row>
    <row r="58">
      <c r="A58" s="108" t="s">
        <v>185</v>
      </c>
      <c r="B58" s="108" t="s">
        <v>411</v>
      </c>
      <c r="C58" s="108" t="s">
        <v>77</v>
      </c>
      <c r="D58" s="109">
        <v>25538.0</v>
      </c>
      <c r="E58" s="108" t="s">
        <v>412</v>
      </c>
      <c r="F58" s="110">
        <v>760000.0</v>
      </c>
      <c r="G58" s="110">
        <v>800000.0</v>
      </c>
      <c r="H58" s="110">
        <v>44.5</v>
      </c>
      <c r="I58" s="110">
        <v>50.0</v>
      </c>
      <c r="J58" s="110">
        <v>5.5</v>
      </c>
      <c r="K58" s="110">
        <v>0.0</v>
      </c>
      <c r="L58" s="111">
        <v>-5.5</v>
      </c>
      <c r="M58" s="108" t="s">
        <v>134</v>
      </c>
      <c r="N58" s="108" t="s">
        <v>705</v>
      </c>
      <c r="O58" s="108"/>
      <c r="P58" s="108"/>
    </row>
    <row r="59">
      <c r="A59" s="108" t="s">
        <v>185</v>
      </c>
      <c r="B59" s="108" t="s">
        <v>415</v>
      </c>
      <c r="C59" s="108" t="s">
        <v>77</v>
      </c>
      <c r="D59" s="109">
        <v>32915.0</v>
      </c>
      <c r="E59" s="108" t="s">
        <v>416</v>
      </c>
      <c r="F59" s="110">
        <v>165000.0</v>
      </c>
      <c r="G59" s="110">
        <v>1500000.0</v>
      </c>
      <c r="H59" s="110">
        <v>38.0</v>
      </c>
      <c r="I59" s="110">
        <v>55.0</v>
      </c>
      <c r="J59" s="110">
        <v>7.0</v>
      </c>
      <c r="K59" s="110">
        <v>0.0</v>
      </c>
      <c r="L59" s="111">
        <v>-12.0</v>
      </c>
      <c r="M59" s="108" t="s">
        <v>143</v>
      </c>
      <c r="N59" s="108" t="s">
        <v>706</v>
      </c>
      <c r="O59" s="108"/>
      <c r="P59" s="108"/>
    </row>
    <row r="60">
      <c r="A60" s="108" t="s">
        <v>185</v>
      </c>
      <c r="B60" s="108" t="s">
        <v>102</v>
      </c>
      <c r="C60" s="108" t="s">
        <v>101</v>
      </c>
      <c r="D60" s="109">
        <v>26614.0</v>
      </c>
      <c r="E60" s="108" t="s">
        <v>265</v>
      </c>
      <c r="F60" s="110">
        <v>9400000.0</v>
      </c>
      <c r="G60" s="110">
        <v>8500000.0</v>
      </c>
      <c r="H60" s="110">
        <v>45.0</v>
      </c>
      <c r="I60" s="110">
        <v>25.0</v>
      </c>
      <c r="J60" s="110">
        <v>5.0</v>
      </c>
      <c r="K60" s="110">
        <v>25.0</v>
      </c>
      <c r="L60" s="111">
        <v>0.0</v>
      </c>
      <c r="M60" s="108" t="s">
        <v>124</v>
      </c>
      <c r="N60" s="108" t="s">
        <v>707</v>
      </c>
      <c r="O60" s="108"/>
      <c r="P60" s="108"/>
    </row>
    <row r="61">
      <c r="A61" s="108" t="s">
        <v>185</v>
      </c>
      <c r="B61" s="108" t="s">
        <v>421</v>
      </c>
      <c r="C61" s="108" t="s">
        <v>101</v>
      </c>
      <c r="D61" s="109">
        <v>23862.0</v>
      </c>
      <c r="E61" s="108" t="s">
        <v>422</v>
      </c>
      <c r="F61" s="110">
        <v>1.68E7</v>
      </c>
      <c r="G61" s="110">
        <v>1.5E7</v>
      </c>
      <c r="H61" s="110">
        <v>52.0</v>
      </c>
      <c r="I61" s="110">
        <v>15.0</v>
      </c>
      <c r="J61" s="110">
        <v>2.0</v>
      </c>
      <c r="K61" s="110">
        <v>31.0</v>
      </c>
      <c r="L61" s="111">
        <v>6.0</v>
      </c>
      <c r="M61" s="108" t="s">
        <v>134</v>
      </c>
      <c r="N61" s="108" t="s">
        <v>708</v>
      </c>
      <c r="O61" s="108"/>
      <c r="P61" s="108"/>
    </row>
    <row r="62">
      <c r="A62" s="108" t="s">
        <v>185</v>
      </c>
      <c r="B62" s="108" t="s">
        <v>425</v>
      </c>
      <c r="C62" s="108" t="s">
        <v>101</v>
      </c>
      <c r="D62" s="109">
        <v>28905.0</v>
      </c>
      <c r="E62" s="108" t="s">
        <v>426</v>
      </c>
      <c r="F62" s="110">
        <v>4.85E7</v>
      </c>
      <c r="G62" s="110">
        <v>4.2E7</v>
      </c>
      <c r="H62" s="110">
        <v>61.0</v>
      </c>
      <c r="I62" s="110">
        <v>12.0</v>
      </c>
      <c r="J62" s="110">
        <v>2.0</v>
      </c>
      <c r="K62" s="110">
        <v>25.0</v>
      </c>
      <c r="L62" s="111">
        <v>13.0</v>
      </c>
      <c r="M62" s="108" t="s">
        <v>143</v>
      </c>
      <c r="N62" s="108" t="s">
        <v>709</v>
      </c>
      <c r="O62" s="108"/>
      <c r="P62" s="108"/>
    </row>
    <row r="63">
      <c r="A63" s="108" t="s">
        <v>185</v>
      </c>
      <c r="B63" s="108" t="s">
        <v>429</v>
      </c>
      <c r="C63" s="108" t="s">
        <v>101</v>
      </c>
      <c r="D63" s="109">
        <v>29822.0</v>
      </c>
      <c r="E63" s="108" t="s">
        <v>430</v>
      </c>
      <c r="F63" s="110">
        <v>5800000.0</v>
      </c>
      <c r="G63" s="110">
        <v>6000000.0</v>
      </c>
      <c r="H63" s="110">
        <v>38.0</v>
      </c>
      <c r="I63" s="110">
        <v>33.0</v>
      </c>
      <c r="J63" s="110">
        <v>7.0</v>
      </c>
      <c r="K63" s="110">
        <v>22.0</v>
      </c>
      <c r="L63" s="111">
        <v>-7.0</v>
      </c>
      <c r="M63" s="108" t="s">
        <v>134</v>
      </c>
      <c r="N63" s="108" t="s">
        <v>710</v>
      </c>
      <c r="O63" s="108"/>
      <c r="P63" s="108"/>
    </row>
    <row r="64">
      <c r="A64" s="108" t="s">
        <v>185</v>
      </c>
      <c r="B64" s="108" t="s">
        <v>433</v>
      </c>
      <c r="C64" s="108" t="s">
        <v>101</v>
      </c>
      <c r="D64" s="109">
        <v>25717.0</v>
      </c>
      <c r="E64" s="108" t="s">
        <v>434</v>
      </c>
      <c r="F64" s="110">
        <v>2.35E7</v>
      </c>
      <c r="G64" s="110">
        <v>2.5E7</v>
      </c>
      <c r="H64" s="110">
        <v>30.0</v>
      </c>
      <c r="I64" s="110">
        <v>40.0</v>
      </c>
      <c r="J64" s="110">
        <v>10.0</v>
      </c>
      <c r="K64" s="110">
        <v>20.0</v>
      </c>
      <c r="L64" s="111">
        <v>-14.0</v>
      </c>
      <c r="M64" s="108" t="s">
        <v>143</v>
      </c>
      <c r="N64" s="108" t="s">
        <v>711</v>
      </c>
      <c r="O64" s="108"/>
      <c r="P64" s="108"/>
    </row>
    <row r="65">
      <c r="A65" s="108" t="s">
        <v>185</v>
      </c>
      <c r="B65" s="108" t="s">
        <v>437</v>
      </c>
      <c r="C65" s="108" t="s">
        <v>83</v>
      </c>
      <c r="D65" s="109">
        <v>34947.0</v>
      </c>
      <c r="E65" s="108" t="s">
        <v>438</v>
      </c>
      <c r="F65" s="110">
        <v>155000.0</v>
      </c>
      <c r="G65" s="110">
        <v>120000.0</v>
      </c>
      <c r="H65" s="110">
        <v>80.0</v>
      </c>
      <c r="I65" s="110">
        <v>0.0</v>
      </c>
      <c r="J65" s="110">
        <v>5.0</v>
      </c>
      <c r="K65" s="110">
        <v>15.0</v>
      </c>
      <c r="L65" s="111">
        <v>0.0</v>
      </c>
      <c r="M65" s="108" t="s">
        <v>124</v>
      </c>
      <c r="N65" s="108" t="s">
        <v>712</v>
      </c>
      <c r="O65" s="108"/>
      <c r="P65" s="108"/>
    </row>
    <row r="66">
      <c r="A66" s="108" t="s">
        <v>185</v>
      </c>
      <c r="B66" s="108" t="s">
        <v>85</v>
      </c>
      <c r="C66" s="108" t="s">
        <v>83</v>
      </c>
      <c r="D66" s="109">
        <v>32214.0</v>
      </c>
      <c r="E66" s="108" t="s">
        <v>209</v>
      </c>
      <c r="F66" s="110">
        <v>530000.0</v>
      </c>
      <c r="G66" s="110">
        <v>450000.0</v>
      </c>
      <c r="H66" s="110">
        <v>87.5</v>
      </c>
      <c r="I66" s="110">
        <v>10.0</v>
      </c>
      <c r="J66" s="110">
        <v>2.5</v>
      </c>
      <c r="K66" s="110">
        <v>0.0</v>
      </c>
      <c r="L66" s="111">
        <v>7.5</v>
      </c>
      <c r="M66" s="108" t="s">
        <v>134</v>
      </c>
      <c r="N66" s="108" t="s">
        <v>210</v>
      </c>
      <c r="O66" s="108"/>
      <c r="P66" s="108"/>
    </row>
    <row r="67">
      <c r="A67" s="108" t="s">
        <v>185</v>
      </c>
      <c r="B67" s="108" t="s">
        <v>87</v>
      </c>
      <c r="C67" s="108" t="s">
        <v>83</v>
      </c>
      <c r="D67" s="109">
        <v>28056.0</v>
      </c>
      <c r="E67" s="108" t="s">
        <v>264</v>
      </c>
      <c r="F67" s="110">
        <v>2600000.0</v>
      </c>
      <c r="G67" s="110">
        <v>2100000.0</v>
      </c>
      <c r="H67" s="110">
        <v>93.0</v>
      </c>
      <c r="I67" s="110">
        <v>5.0</v>
      </c>
      <c r="J67" s="110">
        <v>2.0</v>
      </c>
      <c r="K67" s="110">
        <v>0.0</v>
      </c>
      <c r="L67" s="111">
        <v>16.0</v>
      </c>
      <c r="M67" s="108" t="s">
        <v>143</v>
      </c>
      <c r="N67" s="108" t="s">
        <v>713</v>
      </c>
      <c r="O67" s="108"/>
      <c r="P67" s="108"/>
    </row>
    <row r="68">
      <c r="A68" s="108" t="s">
        <v>185</v>
      </c>
      <c r="B68" s="108" t="s">
        <v>445</v>
      </c>
      <c r="C68" s="108" t="s">
        <v>83</v>
      </c>
      <c r="D68" s="109">
        <v>33426.0</v>
      </c>
      <c r="E68" s="108" t="s">
        <v>446</v>
      </c>
      <c r="F68" s="110">
        <v>320000.0</v>
      </c>
      <c r="G68" s="110">
        <v>350000.0</v>
      </c>
      <c r="H68" s="110">
        <v>72.0</v>
      </c>
      <c r="I68" s="110">
        <v>20.0</v>
      </c>
      <c r="J68" s="110">
        <v>8.0</v>
      </c>
      <c r="K68" s="110">
        <v>0.0</v>
      </c>
      <c r="L68" s="111">
        <v>-8.0</v>
      </c>
      <c r="M68" s="108" t="s">
        <v>134</v>
      </c>
      <c r="N68" s="108" t="s">
        <v>714</v>
      </c>
      <c r="O68" s="108"/>
      <c r="P68" s="108"/>
    </row>
    <row r="69">
      <c r="A69" s="108" t="s">
        <v>185</v>
      </c>
      <c r="B69" s="108" t="s">
        <v>449</v>
      </c>
      <c r="C69" s="108" t="s">
        <v>83</v>
      </c>
      <c r="D69" s="109">
        <v>32251.0</v>
      </c>
      <c r="E69" s="108" t="s">
        <v>450</v>
      </c>
      <c r="F69" s="110">
        <v>710000.0</v>
      </c>
      <c r="G69" s="110">
        <v>800000.0</v>
      </c>
      <c r="H69" s="110">
        <v>63.0</v>
      </c>
      <c r="I69" s="110">
        <v>25.0</v>
      </c>
      <c r="J69" s="110">
        <v>12.0</v>
      </c>
      <c r="K69" s="110">
        <v>0.0</v>
      </c>
      <c r="L69" s="111">
        <v>-17.0</v>
      </c>
      <c r="M69" s="108" t="s">
        <v>143</v>
      </c>
      <c r="N69" s="108" t="s">
        <v>715</v>
      </c>
      <c r="O69" s="108"/>
      <c r="P69" s="108"/>
    </row>
    <row r="70">
      <c r="A70" s="108" t="s">
        <v>182</v>
      </c>
      <c r="B70" s="108" t="s">
        <v>453</v>
      </c>
      <c r="C70" s="108" t="s">
        <v>71</v>
      </c>
      <c r="D70" s="109">
        <v>21287.0</v>
      </c>
      <c r="E70" s="108" t="s">
        <v>454</v>
      </c>
      <c r="F70" s="110">
        <v>268500.0</v>
      </c>
      <c r="G70" s="110">
        <v>250000.0</v>
      </c>
      <c r="H70" s="110">
        <v>18.0</v>
      </c>
      <c r="I70" s="110">
        <v>65.0</v>
      </c>
      <c r="J70" s="110">
        <v>17.0</v>
      </c>
      <c r="K70" s="110">
        <v>0.0</v>
      </c>
      <c r="L70" s="111">
        <v>8.42</v>
      </c>
      <c r="M70" s="108" t="s">
        <v>134</v>
      </c>
      <c r="N70" s="108" t="s">
        <v>716</v>
      </c>
      <c r="O70" s="108"/>
      <c r="P70" s="107"/>
    </row>
    <row r="71">
      <c r="A71" s="108" t="s">
        <v>182</v>
      </c>
      <c r="B71" s="108" t="s">
        <v>72</v>
      </c>
      <c r="C71" s="108" t="s">
        <v>71</v>
      </c>
      <c r="D71" s="109">
        <v>22919.0</v>
      </c>
      <c r="E71" s="108" t="s">
        <v>183</v>
      </c>
      <c r="F71" s="110">
        <v>172400.0</v>
      </c>
      <c r="G71" s="110">
        <v>180000.0</v>
      </c>
      <c r="H71" s="110">
        <v>20.0</v>
      </c>
      <c r="I71" s="110">
        <v>60.0</v>
      </c>
      <c r="J71" s="110">
        <v>20.0</v>
      </c>
      <c r="K71" s="110">
        <v>0.0</v>
      </c>
      <c r="L71" s="111">
        <v>2.17</v>
      </c>
      <c r="M71" s="108" t="s">
        <v>124</v>
      </c>
      <c r="N71" s="108" t="s">
        <v>184</v>
      </c>
      <c r="O71" s="108"/>
      <c r="P71" s="107"/>
    </row>
    <row r="72">
      <c r="A72" s="108" t="s">
        <v>182</v>
      </c>
      <c r="B72" s="108" t="s">
        <v>457</v>
      </c>
      <c r="C72" s="108" t="s">
        <v>71</v>
      </c>
      <c r="D72" s="109">
        <v>20110.0</v>
      </c>
      <c r="E72" s="108" t="s">
        <v>458</v>
      </c>
      <c r="F72" s="110">
        <v>335200.0</v>
      </c>
      <c r="G72" s="110">
        <v>320000.0</v>
      </c>
      <c r="H72" s="110">
        <v>15.0</v>
      </c>
      <c r="I72" s="110">
        <v>70.0</v>
      </c>
      <c r="J72" s="110">
        <v>15.0</v>
      </c>
      <c r="K72" s="110">
        <v>0.0</v>
      </c>
      <c r="L72" s="111">
        <v>13.58</v>
      </c>
      <c r="M72" s="108" t="s">
        <v>143</v>
      </c>
      <c r="N72" s="108" t="s">
        <v>717</v>
      </c>
      <c r="O72" s="107"/>
      <c r="P72" s="107"/>
    </row>
    <row r="73">
      <c r="A73" s="108" t="s">
        <v>182</v>
      </c>
      <c r="B73" s="108" t="s">
        <v>459</v>
      </c>
      <c r="C73" s="108" t="s">
        <v>71</v>
      </c>
      <c r="D73" s="109">
        <v>22111.0</v>
      </c>
      <c r="E73" s="108" t="s">
        <v>460</v>
      </c>
      <c r="F73" s="110">
        <v>205600.0</v>
      </c>
      <c r="G73" s="110">
        <v>210000.0</v>
      </c>
      <c r="H73" s="110">
        <v>19.0</v>
      </c>
      <c r="I73" s="110">
        <v>61.0</v>
      </c>
      <c r="J73" s="110">
        <v>20.0</v>
      </c>
      <c r="K73" s="110">
        <v>0.0</v>
      </c>
      <c r="L73" s="111">
        <v>5.91</v>
      </c>
      <c r="M73" s="108" t="s">
        <v>134</v>
      </c>
      <c r="N73" s="108" t="s">
        <v>718</v>
      </c>
      <c r="O73" s="108"/>
      <c r="P73" s="107"/>
    </row>
    <row r="74">
      <c r="A74" s="108" t="s">
        <v>182</v>
      </c>
      <c r="B74" s="108" t="s">
        <v>359</v>
      </c>
      <c r="C74" s="108" t="s">
        <v>71</v>
      </c>
      <c r="D74" s="109">
        <v>19665.0</v>
      </c>
      <c r="E74" s="108" t="s">
        <v>462</v>
      </c>
      <c r="F74" s="110">
        <v>412300.0</v>
      </c>
      <c r="G74" s="110">
        <v>400000.0</v>
      </c>
      <c r="H74" s="110">
        <v>17.0</v>
      </c>
      <c r="I74" s="110">
        <v>68.0</v>
      </c>
      <c r="J74" s="110">
        <v>15.0</v>
      </c>
      <c r="K74" s="110">
        <v>0.0</v>
      </c>
      <c r="L74" s="111">
        <v>2.0</v>
      </c>
      <c r="M74" s="108" t="s">
        <v>124</v>
      </c>
      <c r="N74" s="108" t="s">
        <v>719</v>
      </c>
      <c r="O74" s="107"/>
      <c r="P74" s="107"/>
    </row>
    <row r="75">
      <c r="A75" s="108" t="s">
        <v>182</v>
      </c>
      <c r="B75" s="108" t="s">
        <v>86</v>
      </c>
      <c r="C75" s="108" t="s">
        <v>77</v>
      </c>
      <c r="D75" s="109">
        <v>31124.0</v>
      </c>
      <c r="E75" s="108" t="s">
        <v>463</v>
      </c>
      <c r="F75" s="110">
        <v>168200.0</v>
      </c>
      <c r="G75" s="110">
        <v>150000.0</v>
      </c>
      <c r="H75" s="110">
        <v>55.0</v>
      </c>
      <c r="I75" s="110">
        <v>35.0</v>
      </c>
      <c r="J75" s="110">
        <v>10.0</v>
      </c>
      <c r="K75" s="110">
        <v>0.0</v>
      </c>
      <c r="L75" s="111">
        <v>1.36</v>
      </c>
      <c r="M75" s="108" t="s">
        <v>124</v>
      </c>
      <c r="N75" s="108" t="s">
        <v>720</v>
      </c>
      <c r="O75" s="107"/>
      <c r="P75" s="107"/>
    </row>
    <row r="76">
      <c r="A76" s="108" t="s">
        <v>182</v>
      </c>
      <c r="B76" s="108" t="s">
        <v>465</v>
      </c>
      <c r="C76" s="108" t="s">
        <v>77</v>
      </c>
      <c r="D76" s="109">
        <v>28650.0</v>
      </c>
      <c r="E76" s="108" t="s">
        <v>466</v>
      </c>
      <c r="F76" s="110">
        <v>245900.0</v>
      </c>
      <c r="G76" s="110">
        <v>220000.0</v>
      </c>
      <c r="H76" s="110">
        <v>60.0</v>
      </c>
      <c r="I76" s="110">
        <v>30.0</v>
      </c>
      <c r="J76" s="110">
        <v>10.0</v>
      </c>
      <c r="K76" s="110">
        <v>0.0</v>
      </c>
      <c r="L76" s="111">
        <v>14.72</v>
      </c>
      <c r="M76" s="108" t="s">
        <v>143</v>
      </c>
      <c r="N76" s="108" t="s">
        <v>721</v>
      </c>
      <c r="O76" s="107"/>
      <c r="P76" s="107"/>
    </row>
    <row r="77">
      <c r="A77" s="108" t="s">
        <v>182</v>
      </c>
      <c r="B77" s="108" t="s">
        <v>415</v>
      </c>
      <c r="C77" s="108" t="s">
        <v>77</v>
      </c>
      <c r="D77" s="109">
        <v>33208.0</v>
      </c>
      <c r="E77" s="108" t="s">
        <v>468</v>
      </c>
      <c r="F77" s="110">
        <v>120500.0</v>
      </c>
      <c r="G77" s="110">
        <v>98000.0</v>
      </c>
      <c r="H77" s="110">
        <v>52.0</v>
      </c>
      <c r="I77" s="110">
        <v>38.0</v>
      </c>
      <c r="J77" s="110">
        <v>10.0</v>
      </c>
      <c r="K77" s="110">
        <v>0.0</v>
      </c>
      <c r="L77" s="111">
        <v>7.83</v>
      </c>
      <c r="M77" s="108" t="s">
        <v>134</v>
      </c>
      <c r="N77" s="108" t="s">
        <v>722</v>
      </c>
      <c r="O77" s="107"/>
      <c r="P77" s="107"/>
    </row>
    <row r="78">
      <c r="A78" s="108" t="s">
        <v>182</v>
      </c>
      <c r="B78" s="108" t="s">
        <v>78</v>
      </c>
      <c r="C78" s="108" t="s">
        <v>77</v>
      </c>
      <c r="D78" s="109">
        <v>30007.0</v>
      </c>
      <c r="E78" s="108" t="s">
        <v>196</v>
      </c>
      <c r="F78" s="110">
        <v>190300.0</v>
      </c>
      <c r="G78" s="110">
        <v>175000.0</v>
      </c>
      <c r="H78" s="110">
        <v>58.0</v>
      </c>
      <c r="I78" s="110">
        <v>32.0</v>
      </c>
      <c r="J78" s="110">
        <v>10.0</v>
      </c>
      <c r="K78" s="110">
        <v>0.0</v>
      </c>
      <c r="L78" s="111">
        <v>3.45</v>
      </c>
      <c r="M78" s="108" t="s">
        <v>124</v>
      </c>
      <c r="N78" s="108" t="s">
        <v>197</v>
      </c>
      <c r="O78" s="107"/>
      <c r="P78" s="107"/>
    </row>
    <row r="79">
      <c r="A79" s="108" t="s">
        <v>182</v>
      </c>
      <c r="B79" s="108" t="s">
        <v>469</v>
      </c>
      <c r="C79" s="108" t="s">
        <v>77</v>
      </c>
      <c r="D79" s="109">
        <v>32368.0</v>
      </c>
      <c r="E79" s="108" t="s">
        <v>470</v>
      </c>
      <c r="F79" s="110">
        <v>149800.0</v>
      </c>
      <c r="G79" s="110">
        <v>130000.0</v>
      </c>
      <c r="H79" s="110">
        <v>54.0</v>
      </c>
      <c r="I79" s="110">
        <v>36.0</v>
      </c>
      <c r="J79" s="110">
        <v>10.0</v>
      </c>
      <c r="K79" s="110">
        <v>0.0</v>
      </c>
      <c r="L79" s="111">
        <v>11.67</v>
      </c>
      <c r="M79" s="108" t="s">
        <v>143</v>
      </c>
      <c r="N79" s="108" t="s">
        <v>723</v>
      </c>
      <c r="O79" s="107"/>
      <c r="P79" s="107"/>
    </row>
    <row r="80">
      <c r="A80" s="108" t="s">
        <v>182</v>
      </c>
      <c r="B80" s="108" t="s">
        <v>472</v>
      </c>
      <c r="C80" s="108" t="s">
        <v>83</v>
      </c>
      <c r="D80" s="109">
        <v>34839.0</v>
      </c>
      <c r="E80" s="108" t="s">
        <v>473</v>
      </c>
      <c r="F80" s="110">
        <v>124000.0</v>
      </c>
      <c r="G80" s="110">
        <v>80000.0</v>
      </c>
      <c r="H80" s="110">
        <v>85.0</v>
      </c>
      <c r="I80" s="110">
        <v>10.0</v>
      </c>
      <c r="J80" s="110">
        <v>5.0</v>
      </c>
      <c r="K80" s="110">
        <v>0.0</v>
      </c>
      <c r="L80" s="111">
        <v>6.28</v>
      </c>
      <c r="M80" s="108" t="s">
        <v>124</v>
      </c>
      <c r="N80" s="108" t="s">
        <v>724</v>
      </c>
      <c r="O80" s="108"/>
      <c r="P80" s="107"/>
    </row>
    <row r="81">
      <c r="A81" s="108" t="s">
        <v>182</v>
      </c>
      <c r="B81" s="108" t="s">
        <v>475</v>
      </c>
      <c r="C81" s="108" t="s">
        <v>83</v>
      </c>
      <c r="D81" s="109">
        <v>33919.0</v>
      </c>
      <c r="E81" s="108" t="s">
        <v>476</v>
      </c>
      <c r="F81" s="110">
        <v>182300.0</v>
      </c>
      <c r="G81" s="110">
        <v>120000.0</v>
      </c>
      <c r="H81" s="110">
        <v>80.0</v>
      </c>
      <c r="I81" s="110">
        <v>15.0</v>
      </c>
      <c r="J81" s="110">
        <v>5.0</v>
      </c>
      <c r="K81" s="110">
        <v>0.0</v>
      </c>
      <c r="L81" s="111">
        <v>0.94</v>
      </c>
      <c r="M81" s="108" t="s">
        <v>124</v>
      </c>
      <c r="N81" s="108" t="s">
        <v>725</v>
      </c>
      <c r="O81" s="107"/>
      <c r="P81" s="107"/>
    </row>
    <row r="82">
      <c r="A82" s="108" t="s">
        <v>182</v>
      </c>
      <c r="B82" s="108" t="s">
        <v>477</v>
      </c>
      <c r="C82" s="108" t="s">
        <v>83</v>
      </c>
      <c r="D82" s="109">
        <v>35983.0</v>
      </c>
      <c r="E82" s="108" t="s">
        <v>478</v>
      </c>
      <c r="F82" s="110">
        <v>91000.0</v>
      </c>
      <c r="G82" s="110">
        <v>60000.0</v>
      </c>
      <c r="H82" s="110">
        <v>82.0</v>
      </c>
      <c r="I82" s="110">
        <v>13.0</v>
      </c>
      <c r="J82" s="110">
        <v>5.0</v>
      </c>
      <c r="K82" s="110">
        <v>0.0</v>
      </c>
      <c r="L82" s="111">
        <v>12.81</v>
      </c>
      <c r="M82" s="108" t="s">
        <v>143</v>
      </c>
      <c r="N82" s="108" t="s">
        <v>726</v>
      </c>
      <c r="O82" s="107"/>
      <c r="P82" s="107"/>
    </row>
    <row r="83">
      <c r="A83" s="108" t="s">
        <v>182</v>
      </c>
      <c r="B83" s="108" t="s">
        <v>480</v>
      </c>
      <c r="C83" s="108" t="s">
        <v>83</v>
      </c>
      <c r="D83" s="109">
        <v>34088.0</v>
      </c>
      <c r="E83" s="108" t="s">
        <v>481</v>
      </c>
      <c r="F83" s="110">
        <v>205400.0</v>
      </c>
      <c r="G83" s="110">
        <v>140000.0</v>
      </c>
      <c r="H83" s="110">
        <v>78.0</v>
      </c>
      <c r="I83" s="110">
        <v>17.0</v>
      </c>
      <c r="J83" s="110">
        <v>5.0</v>
      </c>
      <c r="K83" s="110">
        <v>0.0</v>
      </c>
      <c r="L83" s="111">
        <v>8.0</v>
      </c>
      <c r="M83" s="108" t="s">
        <v>134</v>
      </c>
      <c r="N83" s="108" t="s">
        <v>727</v>
      </c>
      <c r="O83" s="107"/>
      <c r="P83" s="107"/>
    </row>
    <row r="84">
      <c r="A84" s="108" t="s">
        <v>182</v>
      </c>
      <c r="B84" s="108" t="s">
        <v>483</v>
      </c>
      <c r="C84" s="108" t="s">
        <v>83</v>
      </c>
      <c r="D84" s="109">
        <v>35689.0</v>
      </c>
      <c r="E84" s="108" t="s">
        <v>484</v>
      </c>
      <c r="F84" s="110">
        <v>150600.0</v>
      </c>
      <c r="G84" s="110">
        <v>95000.0</v>
      </c>
      <c r="H84" s="110">
        <v>83.0</v>
      </c>
      <c r="I84" s="110">
        <v>12.0</v>
      </c>
      <c r="J84" s="110">
        <v>5.0</v>
      </c>
      <c r="K84" s="110">
        <v>0.0</v>
      </c>
      <c r="L84" s="111">
        <v>9.76</v>
      </c>
      <c r="M84" s="108" t="s">
        <v>134</v>
      </c>
      <c r="N84" s="108" t="s">
        <v>728</v>
      </c>
      <c r="O84" s="108"/>
      <c r="P84" s="107"/>
    </row>
    <row r="85">
      <c r="A85" s="108" t="s">
        <v>182</v>
      </c>
      <c r="B85" s="108" t="s">
        <v>90</v>
      </c>
      <c r="C85" s="108" t="s">
        <v>89</v>
      </c>
      <c r="D85" s="109">
        <v>24020.0</v>
      </c>
      <c r="E85" s="108" t="s">
        <v>218</v>
      </c>
      <c r="F85" s="110">
        <v>315400.0</v>
      </c>
      <c r="G85" s="110">
        <v>300000.0</v>
      </c>
      <c r="H85" s="110">
        <v>30.0</v>
      </c>
      <c r="I85" s="110">
        <v>55.0</v>
      </c>
      <c r="J85" s="110">
        <v>15.0</v>
      </c>
      <c r="K85" s="110">
        <v>0.0</v>
      </c>
      <c r="L85" s="111">
        <v>2.89</v>
      </c>
      <c r="M85" s="108" t="s">
        <v>124</v>
      </c>
      <c r="N85" s="108" t="s">
        <v>219</v>
      </c>
      <c r="O85" s="107"/>
      <c r="P85" s="107"/>
    </row>
    <row r="86">
      <c r="A86" s="108" t="s">
        <v>182</v>
      </c>
      <c r="B86" s="108" t="s">
        <v>486</v>
      </c>
      <c r="C86" s="108" t="s">
        <v>89</v>
      </c>
      <c r="D86" s="109">
        <v>24859.0</v>
      </c>
      <c r="E86" s="108" t="s">
        <v>487</v>
      </c>
      <c r="F86" s="110">
        <v>289000.0</v>
      </c>
      <c r="G86" s="110">
        <v>275000.0</v>
      </c>
      <c r="H86" s="110">
        <v>25.0</v>
      </c>
      <c r="I86" s="110">
        <v>60.0</v>
      </c>
      <c r="J86" s="110">
        <v>15.0</v>
      </c>
      <c r="K86" s="110">
        <v>0.0</v>
      </c>
      <c r="L86" s="111">
        <v>14.15</v>
      </c>
      <c r="M86" s="108" t="s">
        <v>143</v>
      </c>
      <c r="N86" s="108" t="s">
        <v>729</v>
      </c>
      <c r="O86" s="108"/>
      <c r="P86" s="107"/>
    </row>
    <row r="87">
      <c r="A87" s="108" t="s">
        <v>182</v>
      </c>
      <c r="B87" s="108" t="s">
        <v>489</v>
      </c>
      <c r="C87" s="108" t="s">
        <v>89</v>
      </c>
      <c r="D87" s="109">
        <v>25657.0</v>
      </c>
      <c r="E87" s="108" t="s">
        <v>490</v>
      </c>
      <c r="F87" s="110">
        <v>198500.0</v>
      </c>
      <c r="G87" s="110">
        <v>190000.0</v>
      </c>
      <c r="H87" s="110">
        <v>35.0</v>
      </c>
      <c r="I87" s="110">
        <v>50.0</v>
      </c>
      <c r="J87" s="110">
        <v>15.0</v>
      </c>
      <c r="K87" s="110">
        <v>0.0</v>
      </c>
      <c r="L87" s="111">
        <v>5.37</v>
      </c>
      <c r="M87" s="108" t="s">
        <v>134</v>
      </c>
      <c r="N87" s="108" t="s">
        <v>730</v>
      </c>
      <c r="O87" s="107"/>
      <c r="P87" s="107"/>
    </row>
    <row r="88">
      <c r="A88" s="108" t="s">
        <v>182</v>
      </c>
      <c r="B88" s="108" t="s">
        <v>492</v>
      </c>
      <c r="C88" s="108" t="s">
        <v>89</v>
      </c>
      <c r="D88" s="109">
        <v>23362.0</v>
      </c>
      <c r="E88" s="108" t="s">
        <v>493</v>
      </c>
      <c r="F88" s="110">
        <v>360800.0</v>
      </c>
      <c r="G88" s="110">
        <v>340000.0</v>
      </c>
      <c r="H88" s="110">
        <v>28.0</v>
      </c>
      <c r="I88" s="110">
        <v>57.0</v>
      </c>
      <c r="J88" s="110">
        <v>15.0</v>
      </c>
      <c r="K88" s="110">
        <v>0.0</v>
      </c>
      <c r="L88" s="111">
        <v>8.94</v>
      </c>
      <c r="M88" s="108" t="s">
        <v>143</v>
      </c>
      <c r="N88" s="108" t="s">
        <v>731</v>
      </c>
      <c r="O88" s="107"/>
      <c r="P88" s="107"/>
    </row>
    <row r="89">
      <c r="A89" s="108" t="s">
        <v>182</v>
      </c>
      <c r="B89" s="108" t="s">
        <v>495</v>
      </c>
      <c r="C89" s="108" t="s">
        <v>89</v>
      </c>
      <c r="D89" s="109">
        <v>24634.0</v>
      </c>
      <c r="E89" s="108" t="s">
        <v>496</v>
      </c>
      <c r="F89" s="110">
        <v>230200.0</v>
      </c>
      <c r="G89" s="110">
        <v>220000.0</v>
      </c>
      <c r="H89" s="110">
        <v>32.0</v>
      </c>
      <c r="I89" s="110">
        <v>53.0</v>
      </c>
      <c r="J89" s="110">
        <v>15.0</v>
      </c>
      <c r="K89" s="110">
        <v>0.0</v>
      </c>
      <c r="L89" s="111">
        <v>1.72</v>
      </c>
      <c r="M89" s="108" t="s">
        <v>124</v>
      </c>
      <c r="N89" s="108" t="s">
        <v>732</v>
      </c>
      <c r="O89" s="107"/>
      <c r="P89" s="107"/>
    </row>
    <row r="90">
      <c r="A90" s="108" t="s">
        <v>182</v>
      </c>
      <c r="B90" s="108" t="s">
        <v>498</v>
      </c>
      <c r="C90" s="108" t="s">
        <v>101</v>
      </c>
      <c r="D90" s="109">
        <v>27620.0</v>
      </c>
      <c r="E90" s="108" t="s">
        <v>499</v>
      </c>
      <c r="F90" s="110">
        <v>2870000.0</v>
      </c>
      <c r="G90" s="110">
        <v>2500000.0</v>
      </c>
      <c r="H90" s="110">
        <v>45.0</v>
      </c>
      <c r="I90" s="110">
        <v>25.0</v>
      </c>
      <c r="J90" s="110">
        <v>15.0</v>
      </c>
      <c r="K90" s="110">
        <v>0.0</v>
      </c>
      <c r="L90" s="111">
        <v>13.26</v>
      </c>
      <c r="M90" s="108" t="s">
        <v>143</v>
      </c>
      <c r="N90" s="108" t="s">
        <v>733</v>
      </c>
      <c r="O90" s="107"/>
      <c r="P90" s="107"/>
    </row>
    <row r="91">
      <c r="A91" s="108" t="s">
        <v>182</v>
      </c>
      <c r="B91" s="108" t="s">
        <v>500</v>
      </c>
      <c r="C91" s="108" t="s">
        <v>101</v>
      </c>
      <c r="D91" s="109">
        <v>25261.0</v>
      </c>
      <c r="E91" s="108" t="s">
        <v>501</v>
      </c>
      <c r="F91" s="110">
        <v>3589000.0</v>
      </c>
      <c r="G91" s="110">
        <v>3200000.0</v>
      </c>
      <c r="H91" s="110">
        <v>50.0</v>
      </c>
      <c r="I91" s="110">
        <v>20.0</v>
      </c>
      <c r="J91" s="110">
        <v>15.0</v>
      </c>
      <c r="K91" s="110">
        <v>0.0</v>
      </c>
      <c r="L91" s="111">
        <v>6.84</v>
      </c>
      <c r="M91" s="108" t="s">
        <v>134</v>
      </c>
      <c r="N91" s="108" t="s">
        <v>734</v>
      </c>
      <c r="O91" s="107"/>
      <c r="P91" s="107"/>
    </row>
    <row r="92">
      <c r="A92" s="108" t="s">
        <v>182</v>
      </c>
      <c r="B92" s="108" t="s">
        <v>503</v>
      </c>
      <c r="C92" s="108" t="s">
        <v>101</v>
      </c>
      <c r="D92" s="109">
        <v>29346.0</v>
      </c>
      <c r="E92" s="108" t="s">
        <v>504</v>
      </c>
      <c r="F92" s="110">
        <v>2105000.0</v>
      </c>
      <c r="G92" s="110">
        <v>1800000.0</v>
      </c>
      <c r="H92" s="110">
        <v>55.0</v>
      </c>
      <c r="I92" s="110">
        <v>20.0</v>
      </c>
      <c r="J92" s="110">
        <v>15.0</v>
      </c>
      <c r="K92" s="110">
        <v>0.0</v>
      </c>
      <c r="L92" s="111">
        <v>10.58</v>
      </c>
      <c r="M92" s="108" t="s">
        <v>134</v>
      </c>
      <c r="N92" s="108" t="s">
        <v>735</v>
      </c>
      <c r="O92" s="107"/>
      <c r="P92" s="107"/>
    </row>
    <row r="93">
      <c r="A93" s="108" t="s">
        <v>182</v>
      </c>
      <c r="B93" s="108" t="s">
        <v>505</v>
      </c>
      <c r="C93" s="108" t="s">
        <v>101</v>
      </c>
      <c r="D93" s="109">
        <v>26561.0</v>
      </c>
      <c r="E93" s="108" t="s">
        <v>506</v>
      </c>
      <c r="F93" s="110">
        <v>4520000.0</v>
      </c>
      <c r="G93" s="110">
        <v>4100000.0</v>
      </c>
      <c r="H93" s="110">
        <v>48.0</v>
      </c>
      <c r="I93" s="110">
        <v>22.0</v>
      </c>
      <c r="J93" s="110">
        <v>15.0</v>
      </c>
      <c r="K93" s="110">
        <v>0.0</v>
      </c>
      <c r="L93" s="111">
        <v>3.11</v>
      </c>
      <c r="M93" s="108" t="s">
        <v>124</v>
      </c>
      <c r="N93" s="108" t="s">
        <v>736</v>
      </c>
      <c r="O93" s="107"/>
      <c r="P93" s="107"/>
    </row>
    <row r="94">
      <c r="A94" s="108" t="s">
        <v>182</v>
      </c>
      <c r="B94" s="108" t="s">
        <v>507</v>
      </c>
      <c r="C94" s="108" t="s">
        <v>101</v>
      </c>
      <c r="D94" s="109">
        <v>28187.0</v>
      </c>
      <c r="E94" s="108" t="s">
        <v>508</v>
      </c>
      <c r="F94" s="110">
        <v>3250000.0</v>
      </c>
      <c r="G94" s="110">
        <v>2900000.0</v>
      </c>
      <c r="H94" s="110">
        <v>52.0</v>
      </c>
      <c r="I94" s="110">
        <v>18.0</v>
      </c>
      <c r="J94" s="110">
        <v>15.0</v>
      </c>
      <c r="K94" s="110">
        <v>0.0</v>
      </c>
      <c r="L94" s="111">
        <v>7.49</v>
      </c>
      <c r="M94" s="108" t="s">
        <v>134</v>
      </c>
      <c r="N94" s="108" t="s">
        <v>737</v>
      </c>
      <c r="O94" s="108"/>
      <c r="P94" s="107"/>
    </row>
    <row r="95">
      <c r="A95" s="108" t="s">
        <v>182</v>
      </c>
      <c r="B95" s="108" t="s">
        <v>510</v>
      </c>
      <c r="C95" s="108" t="s">
        <v>95</v>
      </c>
      <c r="D95" s="109">
        <v>19155.0</v>
      </c>
      <c r="E95" s="108" t="s">
        <v>511</v>
      </c>
      <c r="F95" s="110">
        <v>520300.0</v>
      </c>
      <c r="G95" s="110">
        <v>500000.0</v>
      </c>
      <c r="H95" s="110">
        <v>40.0</v>
      </c>
      <c r="I95" s="110">
        <v>50.0</v>
      </c>
      <c r="J95" s="110">
        <v>10.0</v>
      </c>
      <c r="K95" s="110">
        <v>0.0</v>
      </c>
      <c r="L95" s="111">
        <v>12.03</v>
      </c>
      <c r="M95" s="108" t="s">
        <v>143</v>
      </c>
      <c r="N95" s="108" t="s">
        <v>738</v>
      </c>
      <c r="O95" s="107"/>
      <c r="P95" s="107"/>
    </row>
    <row r="96">
      <c r="A96" s="108" t="s">
        <v>182</v>
      </c>
      <c r="B96" s="108" t="s">
        <v>512</v>
      </c>
      <c r="C96" s="108" t="s">
        <v>95</v>
      </c>
      <c r="D96" s="109">
        <v>18278.0</v>
      </c>
      <c r="E96" s="108" t="s">
        <v>513</v>
      </c>
      <c r="F96" s="110">
        <v>640800.0</v>
      </c>
      <c r="G96" s="110">
        <v>620000.0</v>
      </c>
      <c r="H96" s="110">
        <v>35.0</v>
      </c>
      <c r="I96" s="110">
        <v>55.0</v>
      </c>
      <c r="J96" s="110">
        <v>10.0</v>
      </c>
      <c r="K96" s="110">
        <v>0.0</v>
      </c>
      <c r="L96" s="111">
        <v>4.97</v>
      </c>
      <c r="M96" s="108" t="s">
        <v>134</v>
      </c>
      <c r="N96" s="108" t="s">
        <v>739</v>
      </c>
      <c r="O96" s="107"/>
      <c r="P96" s="107"/>
    </row>
    <row r="97">
      <c r="A97" s="108" t="s">
        <v>182</v>
      </c>
      <c r="B97" s="108" t="s">
        <v>96</v>
      </c>
      <c r="C97" s="108" t="s">
        <v>95</v>
      </c>
      <c r="D97" s="109">
        <v>20051.0</v>
      </c>
      <c r="E97" s="108" t="s">
        <v>228</v>
      </c>
      <c r="F97" s="110">
        <v>470200.0</v>
      </c>
      <c r="G97" s="110">
        <v>450000.0</v>
      </c>
      <c r="H97" s="110">
        <v>30.0</v>
      </c>
      <c r="I97" s="110">
        <v>60.0</v>
      </c>
      <c r="J97" s="110">
        <v>10.0</v>
      </c>
      <c r="K97" s="110">
        <v>0.0</v>
      </c>
      <c r="L97" s="111">
        <v>0.48</v>
      </c>
      <c r="M97" s="108" t="s">
        <v>124</v>
      </c>
      <c r="N97" s="108" t="s">
        <v>229</v>
      </c>
      <c r="O97" s="107"/>
      <c r="P97" s="107"/>
    </row>
    <row r="98">
      <c r="A98" s="108" t="s">
        <v>182</v>
      </c>
      <c r="B98" s="108" t="s">
        <v>515</v>
      </c>
      <c r="C98" s="108" t="s">
        <v>95</v>
      </c>
      <c r="D98" s="109">
        <v>18726.0</v>
      </c>
      <c r="E98" s="108" t="s">
        <v>516</v>
      </c>
      <c r="F98" s="110">
        <v>728000.0</v>
      </c>
      <c r="G98" s="110">
        <v>700000.0</v>
      </c>
      <c r="H98" s="110">
        <v>45.0</v>
      </c>
      <c r="I98" s="110">
        <v>45.0</v>
      </c>
      <c r="J98" s="110">
        <v>10.0</v>
      </c>
      <c r="K98" s="110">
        <v>0.0</v>
      </c>
      <c r="L98" s="111">
        <v>11.29</v>
      </c>
      <c r="M98" s="108" t="s">
        <v>143</v>
      </c>
      <c r="N98" s="108" t="s">
        <v>740</v>
      </c>
      <c r="O98" s="107"/>
      <c r="P98" s="107"/>
    </row>
    <row r="99">
      <c r="A99" s="108" t="s">
        <v>182</v>
      </c>
      <c r="B99" s="108" t="s">
        <v>517</v>
      </c>
      <c r="C99" s="108" t="s">
        <v>95</v>
      </c>
      <c r="D99" s="109">
        <v>19631.0</v>
      </c>
      <c r="E99" s="108" t="s">
        <v>518</v>
      </c>
      <c r="F99" s="110">
        <v>566700.0</v>
      </c>
      <c r="G99" s="110">
        <v>550000.0</v>
      </c>
      <c r="H99" s="110">
        <v>38.0</v>
      </c>
      <c r="I99" s="110">
        <v>52.0</v>
      </c>
      <c r="J99" s="110">
        <v>10.0</v>
      </c>
      <c r="K99" s="110">
        <v>0.0</v>
      </c>
      <c r="L99" s="111">
        <v>7.0</v>
      </c>
      <c r="M99" s="108" t="s">
        <v>134</v>
      </c>
      <c r="N99" s="108" t="s">
        <v>741</v>
      </c>
      <c r="O99" s="107"/>
      <c r="P99" s="107"/>
    </row>
    <row r="100">
      <c r="A100" s="108" t="s">
        <v>198</v>
      </c>
      <c r="B100" s="108" t="s">
        <v>534</v>
      </c>
      <c r="C100" s="108" t="s">
        <v>71</v>
      </c>
      <c r="D100" s="109">
        <v>21258.0</v>
      </c>
      <c r="E100" s="108" t="s">
        <v>742</v>
      </c>
      <c r="F100" s="110">
        <v>142000.0</v>
      </c>
      <c r="G100" s="110">
        <v>85000.0</v>
      </c>
      <c r="H100" s="110">
        <v>15.0</v>
      </c>
      <c r="I100" s="110">
        <v>55.0</v>
      </c>
      <c r="J100" s="110">
        <v>20.0</v>
      </c>
      <c r="K100" s="110">
        <v>10.0</v>
      </c>
      <c r="L100" s="112">
        <v>5.0</v>
      </c>
      <c r="M100" s="108" t="s">
        <v>124</v>
      </c>
      <c r="N100" s="108" t="s">
        <v>743</v>
      </c>
      <c r="O100" s="108"/>
      <c r="P100" s="108"/>
    </row>
    <row r="101">
      <c r="A101" s="108" t="s">
        <v>198</v>
      </c>
      <c r="B101" s="108" t="s">
        <v>539</v>
      </c>
      <c r="C101" s="108" t="s">
        <v>71</v>
      </c>
      <c r="D101" s="109">
        <v>22484.0</v>
      </c>
      <c r="E101" s="108" t="s">
        <v>744</v>
      </c>
      <c r="F101" s="110">
        <v>68500.0</v>
      </c>
      <c r="G101" s="110">
        <v>45000.0</v>
      </c>
      <c r="H101" s="110">
        <v>15.0</v>
      </c>
      <c r="I101" s="110">
        <v>60.0</v>
      </c>
      <c r="J101" s="110">
        <v>25.0</v>
      </c>
      <c r="K101" s="110">
        <v>0.0</v>
      </c>
      <c r="L101" s="112">
        <v>10.0</v>
      </c>
      <c r="M101" s="108" t="s">
        <v>124</v>
      </c>
      <c r="N101" s="108" t="s">
        <v>745</v>
      </c>
      <c r="O101" s="108"/>
      <c r="P101" s="108"/>
    </row>
    <row r="102">
      <c r="A102" s="108" t="s">
        <v>198</v>
      </c>
      <c r="B102" s="108" t="s">
        <v>544</v>
      </c>
      <c r="C102" s="108" t="s">
        <v>71</v>
      </c>
      <c r="D102" s="109">
        <v>24054.0</v>
      </c>
      <c r="E102" s="108" t="s">
        <v>746</v>
      </c>
      <c r="F102" s="110">
        <v>165000.0</v>
      </c>
      <c r="G102" s="110">
        <v>120000.0</v>
      </c>
      <c r="H102" s="110">
        <v>20.0</v>
      </c>
      <c r="I102" s="110">
        <v>50.0</v>
      </c>
      <c r="J102" s="110">
        <v>20.0</v>
      </c>
      <c r="K102" s="110">
        <v>10.0</v>
      </c>
      <c r="L102" s="112">
        <v>7.0</v>
      </c>
      <c r="M102" s="108" t="s">
        <v>124</v>
      </c>
      <c r="N102" s="108" t="s">
        <v>747</v>
      </c>
      <c r="O102" s="108"/>
      <c r="P102" s="108"/>
    </row>
    <row r="103">
      <c r="A103" s="108" t="s">
        <v>198</v>
      </c>
      <c r="B103" s="108" t="s">
        <v>549</v>
      </c>
      <c r="C103" s="108" t="s">
        <v>71</v>
      </c>
      <c r="D103" s="109">
        <v>21670.0</v>
      </c>
      <c r="E103" s="108" t="s">
        <v>748</v>
      </c>
      <c r="F103" s="110">
        <v>98000.0</v>
      </c>
      <c r="G103" s="110">
        <v>60000.0</v>
      </c>
      <c r="H103" s="110">
        <v>20.0</v>
      </c>
      <c r="I103" s="110">
        <v>65.0</v>
      </c>
      <c r="J103" s="110">
        <v>15.0</v>
      </c>
      <c r="K103" s="110">
        <v>0.0</v>
      </c>
      <c r="L103" s="112">
        <v>10.0</v>
      </c>
      <c r="M103" s="108" t="s">
        <v>124</v>
      </c>
      <c r="N103" s="108" t="s">
        <v>749</v>
      </c>
      <c r="O103" s="108"/>
      <c r="P103" s="108"/>
    </row>
    <row r="104">
      <c r="A104" s="108" t="s">
        <v>198</v>
      </c>
      <c r="B104" s="108" t="s">
        <v>554</v>
      </c>
      <c r="C104" s="108" t="s">
        <v>71</v>
      </c>
      <c r="D104" s="109">
        <v>23269.0</v>
      </c>
      <c r="E104" s="108" t="s">
        <v>750</v>
      </c>
      <c r="F104" s="110">
        <v>271000.0</v>
      </c>
      <c r="G104" s="110">
        <v>200000.0</v>
      </c>
      <c r="H104" s="110">
        <v>20.0</v>
      </c>
      <c r="I104" s="110">
        <v>55.0</v>
      </c>
      <c r="J104" s="110">
        <v>15.0</v>
      </c>
      <c r="K104" s="110">
        <v>10.0</v>
      </c>
      <c r="L104" s="112">
        <v>5.0</v>
      </c>
      <c r="M104" s="108" t="s">
        <v>124</v>
      </c>
      <c r="N104" s="108" t="s">
        <v>751</v>
      </c>
      <c r="O104" s="108"/>
      <c r="P104" s="108"/>
    </row>
    <row r="105">
      <c r="A105" s="108" t="s">
        <v>198</v>
      </c>
      <c r="B105" s="108" t="s">
        <v>559</v>
      </c>
      <c r="C105" s="108" t="s">
        <v>89</v>
      </c>
      <c r="D105" s="109">
        <v>20137.0</v>
      </c>
      <c r="E105" s="108" t="s">
        <v>752</v>
      </c>
      <c r="F105" s="110">
        <v>418000.0</v>
      </c>
      <c r="G105" s="110">
        <v>300000.0</v>
      </c>
      <c r="H105" s="110">
        <v>30.0</v>
      </c>
      <c r="I105" s="110">
        <v>40.0</v>
      </c>
      <c r="J105" s="110">
        <v>10.0</v>
      </c>
      <c r="K105" s="110">
        <v>20.0</v>
      </c>
      <c r="L105" s="112">
        <v>7.0</v>
      </c>
      <c r="M105" s="108" t="s">
        <v>134</v>
      </c>
      <c r="N105" s="108" t="s">
        <v>753</v>
      </c>
      <c r="O105" s="108"/>
      <c r="P105" s="108"/>
    </row>
    <row r="106">
      <c r="A106" s="108" t="s">
        <v>198</v>
      </c>
      <c r="B106" s="108" t="s">
        <v>564</v>
      </c>
      <c r="C106" s="108" t="s">
        <v>89</v>
      </c>
      <c r="D106" s="109">
        <v>19211.0</v>
      </c>
      <c r="E106" s="108" t="s">
        <v>754</v>
      </c>
      <c r="F106" s="110">
        <v>224000.0</v>
      </c>
      <c r="G106" s="110">
        <v>180000.0</v>
      </c>
      <c r="H106" s="110">
        <v>35.0</v>
      </c>
      <c r="I106" s="110">
        <v>45.0</v>
      </c>
      <c r="J106" s="110">
        <v>15.0</v>
      </c>
      <c r="K106" s="110">
        <v>5.0</v>
      </c>
      <c r="L106" s="112">
        <v>10.0</v>
      </c>
      <c r="M106" s="108" t="s">
        <v>124</v>
      </c>
      <c r="N106" s="108" t="s">
        <v>755</v>
      </c>
      <c r="O106" s="108"/>
      <c r="P106" s="108"/>
    </row>
    <row r="107">
      <c r="A107" s="108" t="s">
        <v>198</v>
      </c>
      <c r="B107" s="108" t="s">
        <v>569</v>
      </c>
      <c r="C107" s="108" t="s">
        <v>89</v>
      </c>
      <c r="D107" s="109">
        <v>22272.0</v>
      </c>
      <c r="E107" s="108" t="s">
        <v>756</v>
      </c>
      <c r="F107" s="110">
        <v>305000.0</v>
      </c>
      <c r="G107" s="110">
        <v>220000.0</v>
      </c>
      <c r="H107" s="110">
        <v>40.0</v>
      </c>
      <c r="I107" s="110">
        <v>35.0</v>
      </c>
      <c r="J107" s="110">
        <v>10.0</v>
      </c>
      <c r="K107" s="110">
        <v>15.0</v>
      </c>
      <c r="L107" s="112">
        <v>9.0</v>
      </c>
      <c r="M107" s="108" t="s">
        <v>134</v>
      </c>
      <c r="N107" s="108" t="s">
        <v>757</v>
      </c>
      <c r="O107" s="108"/>
      <c r="P107" s="108"/>
    </row>
    <row r="108">
      <c r="A108" s="108" t="s">
        <v>198</v>
      </c>
      <c r="B108" s="108" t="s">
        <v>574</v>
      </c>
      <c r="C108" s="108" t="s">
        <v>89</v>
      </c>
      <c r="D108" s="109">
        <v>20951.0</v>
      </c>
      <c r="E108" s="108" t="s">
        <v>758</v>
      </c>
      <c r="F108" s="110">
        <v>137000.0</v>
      </c>
      <c r="G108" s="110">
        <v>95000.0</v>
      </c>
      <c r="H108" s="110">
        <v>35.0</v>
      </c>
      <c r="I108" s="110">
        <v>40.0</v>
      </c>
      <c r="J108" s="110">
        <v>15.0</v>
      </c>
      <c r="K108" s="110">
        <v>10.0</v>
      </c>
      <c r="L108" s="112">
        <v>5.0</v>
      </c>
      <c r="M108" s="108" t="s">
        <v>134</v>
      </c>
      <c r="N108" s="108" t="s">
        <v>759</v>
      </c>
      <c r="O108" s="108"/>
      <c r="P108" s="108"/>
    </row>
    <row r="109">
      <c r="A109" s="108" t="s">
        <v>198</v>
      </c>
      <c r="B109" s="108" t="s">
        <v>579</v>
      </c>
      <c r="C109" s="108" t="s">
        <v>89</v>
      </c>
      <c r="D109" s="109">
        <v>19660.0</v>
      </c>
      <c r="E109" s="108" t="s">
        <v>760</v>
      </c>
      <c r="F109" s="110">
        <v>598000.0</v>
      </c>
      <c r="G109" s="110">
        <v>450000.0</v>
      </c>
      <c r="H109" s="110">
        <v>35.0</v>
      </c>
      <c r="I109" s="110">
        <v>40.0</v>
      </c>
      <c r="J109" s="110">
        <v>10.0</v>
      </c>
      <c r="K109" s="110">
        <v>15.0</v>
      </c>
      <c r="L109" s="112">
        <v>4.0</v>
      </c>
      <c r="M109" s="108" t="s">
        <v>124</v>
      </c>
      <c r="N109" s="108" t="s">
        <v>761</v>
      </c>
      <c r="O109" s="108"/>
      <c r="P109" s="108"/>
    </row>
    <row r="110">
      <c r="A110" s="108" t="s">
        <v>198</v>
      </c>
      <c r="B110" s="108" t="s">
        <v>584</v>
      </c>
      <c r="C110" s="108" t="s">
        <v>95</v>
      </c>
      <c r="D110" s="109">
        <v>18432.0</v>
      </c>
      <c r="E110" s="108" t="s">
        <v>762</v>
      </c>
      <c r="F110" s="110">
        <v>312000.0</v>
      </c>
      <c r="G110" s="110">
        <v>250000.0</v>
      </c>
      <c r="H110" s="110">
        <v>20.0</v>
      </c>
      <c r="I110" s="110">
        <v>50.0</v>
      </c>
      <c r="J110" s="110">
        <v>20.0</v>
      </c>
      <c r="K110" s="110">
        <v>10.0</v>
      </c>
      <c r="L110" s="112">
        <v>6.0</v>
      </c>
      <c r="M110" s="108" t="s">
        <v>124</v>
      </c>
      <c r="N110" s="108" t="s">
        <v>763</v>
      </c>
      <c r="O110" s="108"/>
      <c r="P110" s="108"/>
    </row>
    <row r="111">
      <c r="A111" s="108" t="s">
        <v>198</v>
      </c>
      <c r="B111" s="108" t="s">
        <v>589</v>
      </c>
      <c r="C111" s="108" t="s">
        <v>95</v>
      </c>
      <c r="D111" s="109">
        <v>17596.0</v>
      </c>
      <c r="E111" s="108" t="s">
        <v>764</v>
      </c>
      <c r="F111" s="110">
        <v>388000.0</v>
      </c>
      <c r="G111" s="110">
        <v>320000.0</v>
      </c>
      <c r="H111" s="110">
        <v>20.0</v>
      </c>
      <c r="I111" s="110">
        <v>55.0</v>
      </c>
      <c r="J111" s="110">
        <v>25.0</v>
      </c>
      <c r="K111" s="110">
        <v>0.0</v>
      </c>
      <c r="L111" s="112">
        <v>13.0</v>
      </c>
      <c r="M111" s="108" t="s">
        <v>124</v>
      </c>
      <c r="N111" s="108" t="s">
        <v>765</v>
      </c>
      <c r="O111" s="108"/>
      <c r="P111" s="108"/>
    </row>
    <row r="112">
      <c r="A112" s="108" t="s">
        <v>198</v>
      </c>
      <c r="B112" s="108" t="s">
        <v>594</v>
      </c>
      <c r="C112" s="108" t="s">
        <v>95</v>
      </c>
      <c r="D112" s="109">
        <v>20484.0</v>
      </c>
      <c r="E112" s="108" t="s">
        <v>766</v>
      </c>
      <c r="F112" s="110">
        <v>240000.0</v>
      </c>
      <c r="G112" s="110">
        <v>175000.0</v>
      </c>
      <c r="H112" s="110">
        <v>30.0</v>
      </c>
      <c r="I112" s="110">
        <v>45.0</v>
      </c>
      <c r="J112" s="110">
        <v>15.0</v>
      </c>
      <c r="K112" s="110">
        <v>10.0</v>
      </c>
      <c r="L112" s="112">
        <v>7.0</v>
      </c>
      <c r="M112" s="108" t="s">
        <v>134</v>
      </c>
      <c r="N112" s="108" t="s">
        <v>767</v>
      </c>
      <c r="O112" s="108"/>
      <c r="P112" s="108"/>
    </row>
    <row r="113">
      <c r="A113" s="108" t="s">
        <v>198</v>
      </c>
      <c r="B113" s="108" t="s">
        <v>599</v>
      </c>
      <c r="C113" s="108" t="s">
        <v>95</v>
      </c>
      <c r="D113" s="109">
        <v>19926.0</v>
      </c>
      <c r="E113" s="108" t="s">
        <v>768</v>
      </c>
      <c r="F113" s="110">
        <v>128000.0</v>
      </c>
      <c r="G113" s="110">
        <v>90000.0</v>
      </c>
      <c r="H113" s="110">
        <v>35.0</v>
      </c>
      <c r="I113" s="110">
        <v>40.0</v>
      </c>
      <c r="J113" s="110">
        <v>20.0</v>
      </c>
      <c r="K113" s="110">
        <v>5.0</v>
      </c>
      <c r="L113" s="112">
        <v>9.0</v>
      </c>
      <c r="M113" s="108" t="s">
        <v>134</v>
      </c>
      <c r="N113" s="108" t="s">
        <v>769</v>
      </c>
      <c r="O113" s="108"/>
      <c r="P113" s="108"/>
    </row>
    <row r="114">
      <c r="A114" s="108" t="s">
        <v>198</v>
      </c>
      <c r="B114" s="108" t="s">
        <v>604</v>
      </c>
      <c r="C114" s="108" t="s">
        <v>95</v>
      </c>
      <c r="D114" s="109">
        <v>18883.0</v>
      </c>
      <c r="E114" s="108" t="s">
        <v>770</v>
      </c>
      <c r="F114" s="110">
        <v>624000.0</v>
      </c>
      <c r="G114" s="110">
        <v>510000.0</v>
      </c>
      <c r="H114" s="110">
        <v>20.0</v>
      </c>
      <c r="I114" s="110">
        <v>50.0</v>
      </c>
      <c r="J114" s="110">
        <v>20.0</v>
      </c>
      <c r="K114" s="110">
        <v>10.0</v>
      </c>
      <c r="L114" s="112">
        <v>6.0</v>
      </c>
      <c r="M114" s="108" t="s">
        <v>124</v>
      </c>
      <c r="N114" s="108" t="s">
        <v>771</v>
      </c>
      <c r="O114" s="108"/>
      <c r="P114" s="108"/>
    </row>
    <row r="115">
      <c r="A115" s="108" t="s">
        <v>198</v>
      </c>
      <c r="B115" s="108" t="s">
        <v>609</v>
      </c>
      <c r="C115" s="108" t="s">
        <v>77</v>
      </c>
      <c r="D115" s="109">
        <v>27475.0</v>
      </c>
      <c r="E115" s="108" t="s">
        <v>772</v>
      </c>
      <c r="F115" s="110">
        <v>112000.0</v>
      </c>
      <c r="G115" s="110">
        <v>55000.0</v>
      </c>
      <c r="H115" s="110">
        <v>50.0</v>
      </c>
      <c r="I115" s="110">
        <v>30.0</v>
      </c>
      <c r="J115" s="110">
        <v>10.0</v>
      </c>
      <c r="K115" s="110">
        <v>0.0</v>
      </c>
      <c r="L115" s="112">
        <v>8.0</v>
      </c>
      <c r="M115" s="108" t="s">
        <v>134</v>
      </c>
      <c r="N115" s="108" t="s">
        <v>773</v>
      </c>
      <c r="O115" s="108"/>
      <c r="P115" s="108"/>
    </row>
    <row r="116">
      <c r="A116" s="108" t="s">
        <v>198</v>
      </c>
      <c r="B116" s="108" t="s">
        <v>79</v>
      </c>
      <c r="C116" s="108" t="s">
        <v>77</v>
      </c>
      <c r="D116" s="109">
        <v>30141.0</v>
      </c>
      <c r="E116" s="108" t="s">
        <v>261</v>
      </c>
      <c r="F116" s="110">
        <v>78000.0</v>
      </c>
      <c r="G116" s="110">
        <v>30000.0</v>
      </c>
      <c r="H116" s="110">
        <v>55.0</v>
      </c>
      <c r="I116" s="110">
        <v>25.0</v>
      </c>
      <c r="J116" s="110">
        <v>10.0</v>
      </c>
      <c r="K116" s="110">
        <v>10.0</v>
      </c>
      <c r="L116" s="112">
        <v>4.0</v>
      </c>
      <c r="M116" s="108" t="s">
        <v>134</v>
      </c>
      <c r="N116" s="108" t="s">
        <v>200</v>
      </c>
      <c r="O116" s="108"/>
      <c r="P116" s="107"/>
    </row>
    <row r="117">
      <c r="A117" s="108" t="s">
        <v>198</v>
      </c>
      <c r="B117" s="108" t="s">
        <v>617</v>
      </c>
      <c r="C117" s="108" t="s">
        <v>77</v>
      </c>
      <c r="D117" s="109">
        <v>28809.0</v>
      </c>
      <c r="E117" s="108" t="s">
        <v>774</v>
      </c>
      <c r="F117" s="110">
        <v>158000.0</v>
      </c>
      <c r="G117" s="110">
        <v>80000.0</v>
      </c>
      <c r="H117" s="110">
        <v>50.0</v>
      </c>
      <c r="I117" s="110">
        <v>30.0</v>
      </c>
      <c r="J117" s="110">
        <v>10.0</v>
      </c>
      <c r="K117" s="110">
        <v>10.0</v>
      </c>
      <c r="L117" s="112">
        <v>5.0</v>
      </c>
      <c r="M117" s="108" t="s">
        <v>134</v>
      </c>
      <c r="N117" s="108" t="s">
        <v>775</v>
      </c>
      <c r="O117" s="108"/>
      <c r="P117" s="107"/>
    </row>
    <row r="118">
      <c r="A118" s="108" t="s">
        <v>198</v>
      </c>
      <c r="B118" s="108" t="s">
        <v>622</v>
      </c>
      <c r="C118" s="108" t="s">
        <v>77</v>
      </c>
      <c r="D118" s="109">
        <v>31164.0</v>
      </c>
      <c r="E118" s="108" t="s">
        <v>776</v>
      </c>
      <c r="F118" s="110">
        <v>54000.0</v>
      </c>
      <c r="G118" s="110">
        <v>22000.0</v>
      </c>
      <c r="H118" s="110">
        <v>55.0</v>
      </c>
      <c r="I118" s="110">
        <v>25.0</v>
      </c>
      <c r="J118" s="110">
        <v>15.0</v>
      </c>
      <c r="K118" s="110">
        <v>0.0</v>
      </c>
      <c r="L118" s="112">
        <v>7.5</v>
      </c>
      <c r="M118" s="108" t="s">
        <v>134</v>
      </c>
      <c r="N118" s="108" t="s">
        <v>777</v>
      </c>
      <c r="O118" s="108"/>
      <c r="P118" s="108"/>
    </row>
    <row r="119">
      <c r="A119" s="108" t="s">
        <v>198</v>
      </c>
      <c r="B119" s="108" t="s">
        <v>627</v>
      </c>
      <c r="C119" s="108" t="s">
        <v>77</v>
      </c>
      <c r="D119" s="109">
        <v>29070.0</v>
      </c>
      <c r="E119" s="108" t="s">
        <v>778</v>
      </c>
      <c r="F119" s="110">
        <v>195000.0</v>
      </c>
      <c r="G119" s="110">
        <v>100000.0</v>
      </c>
      <c r="H119" s="110">
        <v>55.0</v>
      </c>
      <c r="I119" s="110">
        <v>25.0</v>
      </c>
      <c r="J119" s="110">
        <v>10.0</v>
      </c>
      <c r="K119" s="110">
        <v>10.0</v>
      </c>
      <c r="L119" s="112">
        <v>4.0</v>
      </c>
      <c r="M119" s="108" t="s">
        <v>134</v>
      </c>
      <c r="N119" s="108" t="s">
        <v>779</v>
      </c>
      <c r="O119" s="108"/>
      <c r="P119" s="108"/>
    </row>
    <row r="120">
      <c r="A120" s="108" t="s">
        <v>198</v>
      </c>
      <c r="B120" s="108" t="s">
        <v>632</v>
      </c>
      <c r="C120" s="108" t="s">
        <v>101</v>
      </c>
      <c r="D120" s="109">
        <v>24882.0</v>
      </c>
      <c r="E120" s="108" t="s">
        <v>780</v>
      </c>
      <c r="F120" s="110">
        <v>3840000.0</v>
      </c>
      <c r="G120" s="110">
        <v>1200000.0</v>
      </c>
      <c r="H120" s="110">
        <v>45.0</v>
      </c>
      <c r="I120" s="110">
        <v>15.0</v>
      </c>
      <c r="J120" s="110">
        <v>5.0</v>
      </c>
      <c r="K120" s="110">
        <v>35.0</v>
      </c>
      <c r="L120" s="112">
        <v>1.0</v>
      </c>
      <c r="M120" s="108" t="s">
        <v>143</v>
      </c>
      <c r="N120" s="108" t="s">
        <v>781</v>
      </c>
      <c r="O120" s="108"/>
      <c r="P120" s="108"/>
    </row>
    <row r="121">
      <c r="A121" s="108" t="s">
        <v>198</v>
      </c>
      <c r="B121" s="108" t="s">
        <v>103</v>
      </c>
      <c r="C121" s="108" t="s">
        <v>101</v>
      </c>
      <c r="D121" s="109">
        <v>26184.0</v>
      </c>
      <c r="E121" s="108" t="s">
        <v>266</v>
      </c>
      <c r="F121" s="110">
        <v>2150000.0</v>
      </c>
      <c r="G121" s="110">
        <v>800000.0</v>
      </c>
      <c r="H121" s="110">
        <v>50.0</v>
      </c>
      <c r="I121" s="110">
        <v>15.0</v>
      </c>
      <c r="J121" s="110">
        <v>5.0</v>
      </c>
      <c r="K121" s="110">
        <v>30.0</v>
      </c>
      <c r="L121" s="112">
        <v>5.0</v>
      </c>
      <c r="M121" s="108" t="s">
        <v>143</v>
      </c>
      <c r="N121" s="108" t="s">
        <v>241</v>
      </c>
      <c r="O121" s="108"/>
      <c r="P121" s="108"/>
    </row>
    <row r="122">
      <c r="A122" s="108" t="s">
        <v>198</v>
      </c>
      <c r="B122" s="108" t="s">
        <v>640</v>
      </c>
      <c r="C122" s="108" t="s">
        <v>101</v>
      </c>
      <c r="D122" s="109">
        <v>23918.0</v>
      </c>
      <c r="E122" s="108" t="s">
        <v>782</v>
      </c>
      <c r="F122" s="110">
        <v>5200000.0</v>
      </c>
      <c r="G122" s="110">
        <v>2000000.0</v>
      </c>
      <c r="H122" s="110">
        <v>40.0</v>
      </c>
      <c r="I122" s="110">
        <v>20.0</v>
      </c>
      <c r="J122" s="110">
        <v>5.0</v>
      </c>
      <c r="K122" s="110">
        <v>35.0</v>
      </c>
      <c r="L122" s="112">
        <v>6.0</v>
      </c>
      <c r="M122" s="108" t="s">
        <v>134</v>
      </c>
      <c r="N122" s="108" t="s">
        <v>783</v>
      </c>
      <c r="O122" s="108"/>
      <c r="P122" s="108"/>
    </row>
    <row r="123">
      <c r="A123" s="108" t="s">
        <v>198</v>
      </c>
      <c r="B123" s="108" t="s">
        <v>645</v>
      </c>
      <c r="C123" s="108" t="s">
        <v>101</v>
      </c>
      <c r="D123" s="109">
        <v>26620.0</v>
      </c>
      <c r="E123" s="108" t="s">
        <v>784</v>
      </c>
      <c r="F123" s="110">
        <v>1850000.0</v>
      </c>
      <c r="G123" s="110">
        <v>500000.0</v>
      </c>
      <c r="H123" s="110">
        <v>55.0</v>
      </c>
      <c r="I123" s="110">
        <v>5.0</v>
      </c>
      <c r="J123" s="110">
        <v>5.0</v>
      </c>
      <c r="K123" s="110">
        <v>35.0</v>
      </c>
      <c r="L123" s="112">
        <v>10.0</v>
      </c>
      <c r="M123" s="108" t="s">
        <v>143</v>
      </c>
      <c r="N123" s="108" t="s">
        <v>785</v>
      </c>
      <c r="O123" s="108"/>
      <c r="P123" s="108"/>
    </row>
    <row r="124">
      <c r="A124" s="108" t="s">
        <v>198</v>
      </c>
      <c r="B124" s="108" t="s">
        <v>650</v>
      </c>
      <c r="C124" s="108" t="s">
        <v>101</v>
      </c>
      <c r="D124" s="109">
        <v>25295.0</v>
      </c>
      <c r="E124" s="108" t="s">
        <v>786</v>
      </c>
      <c r="F124" s="110">
        <v>7600000.0</v>
      </c>
      <c r="G124" s="110">
        <v>3000000.0</v>
      </c>
      <c r="H124" s="110">
        <v>40.0</v>
      </c>
      <c r="I124" s="110">
        <v>20.0</v>
      </c>
      <c r="J124" s="110">
        <v>5.0</v>
      </c>
      <c r="K124" s="110">
        <v>35.0</v>
      </c>
      <c r="L124" s="112">
        <v>10.0</v>
      </c>
      <c r="M124" s="108" t="s">
        <v>134</v>
      </c>
      <c r="N124" s="108" t="s">
        <v>787</v>
      </c>
      <c r="O124" s="108"/>
      <c r="P124" s="108"/>
    </row>
    <row r="125">
      <c r="A125" s="108" t="s">
        <v>198</v>
      </c>
      <c r="B125" s="108" t="s">
        <v>84</v>
      </c>
      <c r="C125" s="108" t="s">
        <v>83</v>
      </c>
      <c r="D125" s="109">
        <v>34925.0</v>
      </c>
      <c r="E125" s="108" t="s">
        <v>263</v>
      </c>
      <c r="F125" s="110">
        <v>38000.0</v>
      </c>
      <c r="G125" s="110">
        <v>15000.0</v>
      </c>
      <c r="H125" s="110">
        <v>80.0</v>
      </c>
      <c r="I125" s="110">
        <v>0.0</v>
      </c>
      <c r="J125" s="110">
        <v>5.0</v>
      </c>
      <c r="K125" s="110">
        <v>5.0</v>
      </c>
      <c r="L125" s="112">
        <v>4.0</v>
      </c>
      <c r="M125" s="108" t="s">
        <v>143</v>
      </c>
      <c r="N125" s="108" t="s">
        <v>208</v>
      </c>
      <c r="O125" s="108"/>
      <c r="P125" s="107"/>
    </row>
    <row r="126">
      <c r="A126" s="108" t="s">
        <v>198</v>
      </c>
      <c r="B126" s="108" t="s">
        <v>658</v>
      </c>
      <c r="C126" s="108" t="s">
        <v>83</v>
      </c>
      <c r="D126" s="109">
        <v>34033.0</v>
      </c>
      <c r="E126" s="108" t="s">
        <v>788</v>
      </c>
      <c r="F126" s="110">
        <v>62000.0</v>
      </c>
      <c r="G126" s="110">
        <v>20000.0</v>
      </c>
      <c r="H126" s="110">
        <v>75.0</v>
      </c>
      <c r="I126" s="110">
        <v>0.0</v>
      </c>
      <c r="J126" s="110">
        <v>5.0</v>
      </c>
      <c r="K126" s="110">
        <v>5.0</v>
      </c>
      <c r="L126" s="112">
        <v>1.5</v>
      </c>
      <c r="M126" s="108" t="s">
        <v>143</v>
      </c>
      <c r="N126" s="108" t="s">
        <v>789</v>
      </c>
      <c r="O126" s="107"/>
      <c r="P126" s="107"/>
    </row>
    <row r="127">
      <c r="A127" s="108" t="s">
        <v>198</v>
      </c>
      <c r="B127" s="108" t="s">
        <v>663</v>
      </c>
      <c r="C127" s="108" t="s">
        <v>83</v>
      </c>
      <c r="D127" s="109">
        <v>33227.0</v>
      </c>
      <c r="E127" s="108" t="s">
        <v>790</v>
      </c>
      <c r="F127" s="110">
        <v>118000.0</v>
      </c>
      <c r="G127" s="110">
        <v>40000.0</v>
      </c>
      <c r="H127" s="110">
        <v>70.0</v>
      </c>
      <c r="I127" s="110">
        <v>0.0</v>
      </c>
      <c r="J127" s="110">
        <v>5.0</v>
      </c>
      <c r="K127" s="110">
        <v>10.0</v>
      </c>
      <c r="L127" s="112">
        <v>4.5</v>
      </c>
      <c r="M127" s="108" t="s">
        <v>143</v>
      </c>
      <c r="N127" s="108" t="s">
        <v>791</v>
      </c>
      <c r="O127" s="108"/>
      <c r="P127" s="108"/>
    </row>
    <row r="128">
      <c r="A128" s="108" t="s">
        <v>198</v>
      </c>
      <c r="B128" s="108" t="s">
        <v>81</v>
      </c>
      <c r="C128" s="108" t="s">
        <v>83</v>
      </c>
      <c r="D128" s="109">
        <v>35568.0</v>
      </c>
      <c r="E128" s="108" t="s">
        <v>792</v>
      </c>
      <c r="F128" s="110">
        <v>24000.0</v>
      </c>
      <c r="G128" s="110">
        <v>8000.0</v>
      </c>
      <c r="H128" s="110">
        <v>80.0</v>
      </c>
      <c r="I128" s="110">
        <v>0.0</v>
      </c>
      <c r="J128" s="110">
        <v>8.0</v>
      </c>
      <c r="K128" s="110">
        <v>0.0</v>
      </c>
      <c r="L128" s="112">
        <v>7.0</v>
      </c>
      <c r="M128" s="108" t="s">
        <v>143</v>
      </c>
      <c r="N128" s="108" t="s">
        <v>793</v>
      </c>
      <c r="O128" s="108"/>
      <c r="P128" s="107"/>
    </row>
    <row r="129">
      <c r="A129" s="108" t="s">
        <v>198</v>
      </c>
      <c r="B129" s="108" t="s">
        <v>671</v>
      </c>
      <c r="C129" s="108" t="s">
        <v>83</v>
      </c>
      <c r="D129" s="109">
        <v>32419.0</v>
      </c>
      <c r="E129" s="108" t="s">
        <v>794</v>
      </c>
      <c r="F129" s="110">
        <v>198000.0</v>
      </c>
      <c r="G129" s="110">
        <v>65000.0</v>
      </c>
      <c r="H129" s="110">
        <v>70.0</v>
      </c>
      <c r="I129" s="110">
        <v>0.0</v>
      </c>
      <c r="J129" s="110">
        <v>5.0</v>
      </c>
      <c r="K129" s="110">
        <v>10.0</v>
      </c>
      <c r="L129" s="112">
        <v>4.5</v>
      </c>
      <c r="M129" s="108" t="s">
        <v>143</v>
      </c>
      <c r="N129" s="108" t="s">
        <v>795</v>
      </c>
      <c r="O129" s="107"/>
      <c r="P129" s="107"/>
    </row>
    <row r="130">
      <c r="L130" s="105"/>
    </row>
    <row r="131">
      <c r="L131" s="105"/>
    </row>
    <row r="132">
      <c r="L132" s="105"/>
    </row>
    <row r="133">
      <c r="L133" s="105"/>
    </row>
    <row r="134">
      <c r="L134" s="105"/>
    </row>
    <row r="135">
      <c r="L135" s="105"/>
    </row>
    <row r="136">
      <c r="L136" s="105"/>
    </row>
    <row r="137">
      <c r="L137" s="105"/>
    </row>
    <row r="138">
      <c r="L138" s="105"/>
    </row>
    <row r="139">
      <c r="L139" s="105"/>
    </row>
    <row r="140">
      <c r="L140" s="105"/>
    </row>
    <row r="141">
      <c r="L141" s="105"/>
    </row>
    <row r="142">
      <c r="L142" s="105"/>
    </row>
    <row r="143">
      <c r="L143" s="105"/>
    </row>
    <row r="144">
      <c r="L144" s="105"/>
    </row>
    <row r="145">
      <c r="L145" s="105"/>
    </row>
    <row r="146">
      <c r="L146" s="105"/>
    </row>
    <row r="147">
      <c r="L147" s="105"/>
    </row>
    <row r="148">
      <c r="L148" s="105"/>
    </row>
    <row r="149">
      <c r="L149" s="105"/>
    </row>
    <row r="150">
      <c r="L150" s="105"/>
    </row>
    <row r="151">
      <c r="L151" s="105"/>
    </row>
    <row r="152">
      <c r="L152" s="105"/>
    </row>
    <row r="153">
      <c r="L153" s="105"/>
    </row>
    <row r="154">
      <c r="L154" s="105"/>
    </row>
    <row r="155">
      <c r="L155" s="105"/>
    </row>
    <row r="156">
      <c r="L156" s="105"/>
    </row>
    <row r="157">
      <c r="L157" s="105"/>
    </row>
    <row r="158">
      <c r="L158" s="105"/>
    </row>
    <row r="159">
      <c r="L159" s="105"/>
    </row>
    <row r="160">
      <c r="L160" s="105"/>
    </row>
    <row r="161">
      <c r="L161" s="105"/>
    </row>
    <row r="162">
      <c r="L162" s="105"/>
    </row>
    <row r="163">
      <c r="L163" s="105"/>
    </row>
    <row r="164">
      <c r="L164" s="105"/>
    </row>
    <row r="165">
      <c r="L165" s="105"/>
    </row>
    <row r="166">
      <c r="L166" s="105"/>
    </row>
    <row r="167">
      <c r="L167" s="105"/>
    </row>
    <row r="168">
      <c r="L168" s="105"/>
    </row>
    <row r="169">
      <c r="L169" s="105"/>
    </row>
    <row r="170">
      <c r="L170" s="105"/>
    </row>
    <row r="171">
      <c r="L171" s="105"/>
    </row>
    <row r="172">
      <c r="L172" s="105"/>
    </row>
    <row r="173">
      <c r="L173" s="105"/>
    </row>
    <row r="174">
      <c r="L174" s="105"/>
    </row>
    <row r="175">
      <c r="L175" s="105"/>
    </row>
    <row r="176">
      <c r="L176" s="105"/>
    </row>
    <row r="177">
      <c r="L177" s="105"/>
    </row>
    <row r="178">
      <c r="L178" s="105"/>
    </row>
    <row r="179">
      <c r="L179" s="105"/>
    </row>
    <row r="180">
      <c r="L180" s="105"/>
    </row>
    <row r="181">
      <c r="L181" s="105"/>
    </row>
    <row r="182">
      <c r="L182" s="105"/>
    </row>
    <row r="183">
      <c r="L183" s="105"/>
    </row>
    <row r="184">
      <c r="L184" s="105"/>
    </row>
    <row r="185">
      <c r="L185" s="105"/>
    </row>
    <row r="186">
      <c r="L186" s="105"/>
    </row>
    <row r="187">
      <c r="L187" s="105"/>
    </row>
    <row r="188">
      <c r="L188" s="105"/>
    </row>
    <row r="189">
      <c r="L189" s="105"/>
    </row>
    <row r="190">
      <c r="L190" s="105"/>
    </row>
    <row r="191">
      <c r="L191" s="105"/>
    </row>
    <row r="192">
      <c r="L192" s="105"/>
    </row>
    <row r="193">
      <c r="L193" s="105"/>
    </row>
    <row r="194">
      <c r="L194" s="105"/>
    </row>
    <row r="195">
      <c r="L195" s="105"/>
    </row>
    <row r="196">
      <c r="L196" s="105"/>
    </row>
    <row r="197">
      <c r="L197" s="105"/>
    </row>
    <row r="198">
      <c r="L198" s="105"/>
    </row>
    <row r="199">
      <c r="L199" s="105"/>
    </row>
    <row r="200">
      <c r="L200" s="105"/>
    </row>
    <row r="201">
      <c r="L201" s="105"/>
    </row>
    <row r="202">
      <c r="L202" s="105"/>
    </row>
    <row r="203">
      <c r="L203" s="105"/>
    </row>
    <row r="204">
      <c r="L204" s="105"/>
    </row>
    <row r="205">
      <c r="L205" s="105"/>
    </row>
    <row r="206">
      <c r="L206" s="105"/>
    </row>
    <row r="207">
      <c r="L207" s="105"/>
    </row>
    <row r="208">
      <c r="L208" s="105"/>
    </row>
    <row r="209">
      <c r="L209" s="105"/>
    </row>
    <row r="210">
      <c r="L210" s="105"/>
    </row>
    <row r="211">
      <c r="L211" s="105"/>
    </row>
    <row r="212">
      <c r="L212" s="105"/>
    </row>
    <row r="213">
      <c r="L213" s="105"/>
    </row>
    <row r="214">
      <c r="L214" s="105"/>
    </row>
    <row r="215">
      <c r="L215" s="105"/>
    </row>
    <row r="216">
      <c r="L216" s="105"/>
    </row>
    <row r="217">
      <c r="L217" s="105"/>
    </row>
    <row r="218">
      <c r="L218" s="105"/>
    </row>
    <row r="219">
      <c r="L219" s="105"/>
    </row>
    <row r="220">
      <c r="L220" s="105"/>
    </row>
    <row r="221">
      <c r="L221" s="105"/>
    </row>
    <row r="222">
      <c r="L222" s="105"/>
    </row>
    <row r="223">
      <c r="L223" s="105"/>
    </row>
    <row r="224">
      <c r="L224" s="105"/>
    </row>
    <row r="225">
      <c r="L225" s="105"/>
    </row>
    <row r="226">
      <c r="L226" s="105"/>
    </row>
    <row r="227">
      <c r="L227" s="105"/>
    </row>
    <row r="228">
      <c r="L228" s="105"/>
    </row>
    <row r="229">
      <c r="L229" s="105"/>
    </row>
    <row r="230">
      <c r="L230" s="105"/>
    </row>
    <row r="231">
      <c r="L231" s="105"/>
    </row>
    <row r="232">
      <c r="L232" s="105"/>
    </row>
    <row r="233">
      <c r="L233" s="105"/>
    </row>
    <row r="234">
      <c r="L234" s="105"/>
    </row>
    <row r="235">
      <c r="L235" s="105"/>
    </row>
    <row r="236">
      <c r="L236" s="105"/>
    </row>
    <row r="237">
      <c r="L237" s="105"/>
    </row>
    <row r="238">
      <c r="L238" s="105"/>
    </row>
    <row r="239">
      <c r="L239" s="105"/>
    </row>
    <row r="240">
      <c r="L240" s="105"/>
    </row>
    <row r="241">
      <c r="L241" s="105"/>
    </row>
    <row r="242">
      <c r="L242" s="105"/>
    </row>
    <row r="243">
      <c r="L243" s="105"/>
    </row>
    <row r="244">
      <c r="L244" s="105"/>
    </row>
    <row r="245">
      <c r="L245" s="105"/>
    </row>
    <row r="246">
      <c r="L246" s="105"/>
    </row>
    <row r="247">
      <c r="L247" s="105"/>
    </row>
    <row r="248">
      <c r="L248" s="105"/>
    </row>
    <row r="249">
      <c r="L249" s="105"/>
    </row>
    <row r="250">
      <c r="L250" s="105"/>
    </row>
    <row r="251">
      <c r="L251" s="105"/>
    </row>
    <row r="252">
      <c r="L252" s="105"/>
    </row>
    <row r="253">
      <c r="L253" s="105"/>
    </row>
    <row r="254">
      <c r="L254" s="105"/>
    </row>
    <row r="255">
      <c r="L255" s="105"/>
    </row>
    <row r="256">
      <c r="L256" s="105"/>
    </row>
    <row r="257">
      <c r="L257" s="105"/>
    </row>
    <row r="258">
      <c r="L258" s="105"/>
    </row>
    <row r="259">
      <c r="L259" s="105"/>
    </row>
    <row r="260">
      <c r="L260" s="105"/>
    </row>
    <row r="261">
      <c r="L261" s="105"/>
    </row>
    <row r="262">
      <c r="L262" s="105"/>
    </row>
    <row r="263">
      <c r="L263" s="105"/>
    </row>
    <row r="264">
      <c r="L264" s="105"/>
    </row>
    <row r="265">
      <c r="L265" s="105"/>
    </row>
    <row r="266">
      <c r="L266" s="105"/>
    </row>
    <row r="267">
      <c r="L267" s="105"/>
    </row>
    <row r="268">
      <c r="L268" s="105"/>
    </row>
    <row r="269">
      <c r="L269" s="105"/>
    </row>
    <row r="270">
      <c r="L270" s="105"/>
    </row>
    <row r="271">
      <c r="L271" s="105"/>
    </row>
    <row r="272">
      <c r="L272" s="105"/>
    </row>
    <row r="273">
      <c r="L273" s="105"/>
    </row>
    <row r="274">
      <c r="L274" s="105"/>
    </row>
    <row r="275">
      <c r="L275" s="105"/>
    </row>
    <row r="276">
      <c r="L276" s="105"/>
    </row>
    <row r="277">
      <c r="L277" s="105"/>
    </row>
    <row r="278">
      <c r="L278" s="105"/>
    </row>
    <row r="279">
      <c r="L279" s="105"/>
    </row>
    <row r="280">
      <c r="L280" s="105"/>
    </row>
    <row r="281">
      <c r="L281" s="105"/>
    </row>
    <row r="282">
      <c r="L282" s="105"/>
    </row>
    <row r="283">
      <c r="L283" s="105"/>
    </row>
    <row r="284">
      <c r="L284" s="105"/>
    </row>
    <row r="285">
      <c r="L285" s="105"/>
    </row>
    <row r="286">
      <c r="L286" s="105"/>
    </row>
    <row r="287">
      <c r="L287" s="105"/>
    </row>
    <row r="288">
      <c r="L288" s="105"/>
    </row>
    <row r="289">
      <c r="L289" s="105"/>
    </row>
    <row r="290">
      <c r="L290" s="105"/>
    </row>
    <row r="291">
      <c r="L291" s="105"/>
    </row>
    <row r="292">
      <c r="L292" s="105"/>
    </row>
    <row r="293">
      <c r="L293" s="105"/>
    </row>
    <row r="294">
      <c r="L294" s="105"/>
    </row>
    <row r="295">
      <c r="L295" s="105"/>
    </row>
    <row r="296">
      <c r="L296" s="105"/>
    </row>
    <row r="297">
      <c r="L297" s="105"/>
    </row>
    <row r="298">
      <c r="L298" s="105"/>
    </row>
    <row r="299">
      <c r="L299" s="105"/>
    </row>
    <row r="300">
      <c r="L300" s="105"/>
    </row>
    <row r="301">
      <c r="L301" s="105"/>
    </row>
    <row r="302">
      <c r="L302" s="105"/>
    </row>
    <row r="303">
      <c r="L303" s="105"/>
    </row>
    <row r="304">
      <c r="L304" s="105"/>
    </row>
    <row r="305">
      <c r="L305" s="105"/>
    </row>
    <row r="306">
      <c r="L306" s="105"/>
    </row>
    <row r="307">
      <c r="L307" s="105"/>
    </row>
    <row r="308">
      <c r="L308" s="105"/>
    </row>
    <row r="309">
      <c r="L309" s="105"/>
    </row>
    <row r="310">
      <c r="L310" s="105"/>
    </row>
    <row r="311">
      <c r="L311" s="105"/>
    </row>
    <row r="312">
      <c r="L312" s="105"/>
    </row>
    <row r="313">
      <c r="L313" s="105"/>
    </row>
    <row r="314">
      <c r="L314" s="105"/>
    </row>
    <row r="315">
      <c r="L315" s="105"/>
    </row>
    <row r="316">
      <c r="L316" s="105"/>
    </row>
    <row r="317">
      <c r="L317" s="105"/>
    </row>
    <row r="318">
      <c r="L318" s="105"/>
    </row>
    <row r="319">
      <c r="L319" s="105"/>
    </row>
    <row r="320">
      <c r="L320" s="105"/>
    </row>
    <row r="321">
      <c r="L321" s="105"/>
    </row>
    <row r="322">
      <c r="L322" s="105"/>
    </row>
    <row r="323">
      <c r="L323" s="105"/>
    </row>
    <row r="324">
      <c r="L324" s="105"/>
    </row>
    <row r="325">
      <c r="L325" s="105"/>
    </row>
    <row r="326">
      <c r="L326" s="105"/>
    </row>
    <row r="327">
      <c r="L327" s="105"/>
    </row>
    <row r="328">
      <c r="L328" s="105"/>
    </row>
    <row r="329">
      <c r="L329" s="105"/>
    </row>
    <row r="330">
      <c r="L330" s="105"/>
    </row>
    <row r="331">
      <c r="L331" s="105"/>
    </row>
    <row r="332">
      <c r="L332" s="105"/>
    </row>
    <row r="333">
      <c r="L333" s="105"/>
    </row>
    <row r="334">
      <c r="L334" s="105"/>
    </row>
    <row r="335">
      <c r="L335" s="105"/>
    </row>
    <row r="336">
      <c r="L336" s="105"/>
    </row>
    <row r="337">
      <c r="L337" s="105"/>
    </row>
    <row r="338">
      <c r="L338" s="105"/>
    </row>
    <row r="339">
      <c r="L339" s="105"/>
    </row>
    <row r="340">
      <c r="L340" s="105"/>
    </row>
    <row r="341">
      <c r="L341" s="105"/>
    </row>
    <row r="342">
      <c r="L342" s="105"/>
    </row>
    <row r="343">
      <c r="L343" s="105"/>
    </row>
    <row r="344">
      <c r="L344" s="105"/>
    </row>
    <row r="345">
      <c r="L345" s="105"/>
    </row>
    <row r="346">
      <c r="L346" s="105"/>
    </row>
    <row r="347">
      <c r="L347" s="105"/>
    </row>
    <row r="348">
      <c r="L348" s="105"/>
    </row>
    <row r="349">
      <c r="L349" s="105"/>
    </row>
    <row r="350">
      <c r="L350" s="105"/>
    </row>
    <row r="351">
      <c r="L351" s="105"/>
    </row>
    <row r="352">
      <c r="L352" s="105"/>
    </row>
    <row r="353">
      <c r="L353" s="105"/>
    </row>
    <row r="354">
      <c r="L354" s="105"/>
    </row>
    <row r="355">
      <c r="L355" s="105"/>
    </row>
    <row r="356">
      <c r="L356" s="105"/>
    </row>
    <row r="357">
      <c r="L357" s="105"/>
    </row>
    <row r="358">
      <c r="L358" s="105"/>
    </row>
    <row r="359">
      <c r="L359" s="105"/>
    </row>
    <row r="360">
      <c r="L360" s="105"/>
    </row>
    <row r="361">
      <c r="L361" s="105"/>
    </row>
    <row r="362">
      <c r="L362" s="105"/>
    </row>
    <row r="363">
      <c r="L363" s="105"/>
    </row>
    <row r="364">
      <c r="L364" s="105"/>
    </row>
    <row r="365">
      <c r="L365" s="105"/>
    </row>
    <row r="366">
      <c r="L366" s="105"/>
    </row>
    <row r="367">
      <c r="L367" s="105"/>
    </row>
    <row r="368">
      <c r="L368" s="105"/>
    </row>
    <row r="369">
      <c r="L369" s="105"/>
    </row>
    <row r="370">
      <c r="L370" s="105"/>
    </row>
    <row r="371">
      <c r="L371" s="105"/>
    </row>
    <row r="372">
      <c r="L372" s="105"/>
    </row>
    <row r="373">
      <c r="L373" s="105"/>
    </row>
    <row r="374">
      <c r="L374" s="105"/>
    </row>
    <row r="375">
      <c r="L375" s="105"/>
    </row>
    <row r="376">
      <c r="L376" s="105"/>
    </row>
    <row r="377">
      <c r="L377" s="105"/>
    </row>
    <row r="378">
      <c r="L378" s="105"/>
    </row>
    <row r="379">
      <c r="L379" s="105"/>
    </row>
    <row r="380">
      <c r="L380" s="105"/>
    </row>
    <row r="381">
      <c r="L381" s="105"/>
    </row>
    <row r="382">
      <c r="L382" s="105"/>
    </row>
    <row r="383">
      <c r="L383" s="105"/>
    </row>
    <row r="384">
      <c r="L384" s="105"/>
    </row>
    <row r="385">
      <c r="L385" s="105"/>
    </row>
    <row r="386">
      <c r="L386" s="105"/>
    </row>
    <row r="387">
      <c r="L387" s="105"/>
    </row>
    <row r="388">
      <c r="L388" s="105"/>
    </row>
    <row r="389">
      <c r="L389" s="105"/>
    </row>
    <row r="390">
      <c r="L390" s="105"/>
    </row>
    <row r="391">
      <c r="L391" s="105"/>
    </row>
    <row r="392">
      <c r="L392" s="105"/>
    </row>
    <row r="393">
      <c r="L393" s="105"/>
    </row>
    <row r="394">
      <c r="L394" s="105"/>
    </row>
    <row r="395">
      <c r="L395" s="105"/>
    </row>
    <row r="396">
      <c r="L396" s="105"/>
    </row>
    <row r="397">
      <c r="L397" s="105"/>
    </row>
    <row r="398">
      <c r="L398" s="105"/>
    </row>
    <row r="399">
      <c r="L399" s="105"/>
    </row>
    <row r="400">
      <c r="L400" s="105"/>
    </row>
    <row r="401">
      <c r="L401" s="105"/>
    </row>
    <row r="402">
      <c r="L402" s="105"/>
    </row>
    <row r="403">
      <c r="L403" s="105"/>
    </row>
    <row r="404">
      <c r="L404" s="105"/>
    </row>
    <row r="405">
      <c r="L405" s="105"/>
    </row>
    <row r="406">
      <c r="L406" s="105"/>
    </row>
    <row r="407">
      <c r="L407" s="105"/>
    </row>
    <row r="408">
      <c r="L408" s="105"/>
    </row>
    <row r="409">
      <c r="L409" s="105"/>
    </row>
    <row r="410">
      <c r="L410" s="105"/>
    </row>
    <row r="411">
      <c r="L411" s="105"/>
    </row>
    <row r="412">
      <c r="L412" s="105"/>
    </row>
    <row r="413">
      <c r="L413" s="105"/>
    </row>
    <row r="414">
      <c r="L414" s="105"/>
    </row>
    <row r="415">
      <c r="L415" s="105"/>
    </row>
    <row r="416">
      <c r="L416" s="105"/>
    </row>
    <row r="417">
      <c r="L417" s="105"/>
    </row>
    <row r="418">
      <c r="L418" s="105"/>
    </row>
    <row r="419">
      <c r="L419" s="105"/>
    </row>
    <row r="420">
      <c r="L420" s="105"/>
    </row>
    <row r="421">
      <c r="L421" s="105"/>
    </row>
    <row r="422">
      <c r="L422" s="105"/>
    </row>
    <row r="423">
      <c r="L423" s="105"/>
    </row>
    <row r="424">
      <c r="L424" s="105"/>
    </row>
    <row r="425">
      <c r="L425" s="105"/>
    </row>
    <row r="426">
      <c r="L426" s="105"/>
    </row>
    <row r="427">
      <c r="L427" s="105"/>
    </row>
    <row r="428">
      <c r="L428" s="105"/>
    </row>
    <row r="429">
      <c r="L429" s="105"/>
    </row>
    <row r="430">
      <c r="L430" s="105"/>
    </row>
    <row r="431">
      <c r="L431" s="105"/>
    </row>
    <row r="432">
      <c r="L432" s="105"/>
    </row>
    <row r="433">
      <c r="L433" s="105"/>
    </row>
    <row r="434">
      <c r="L434" s="105"/>
    </row>
    <row r="435">
      <c r="L435" s="105"/>
    </row>
    <row r="436">
      <c r="L436" s="105"/>
    </row>
    <row r="437">
      <c r="L437" s="105"/>
    </row>
    <row r="438">
      <c r="L438" s="105"/>
    </row>
    <row r="439">
      <c r="L439" s="105"/>
    </row>
    <row r="440">
      <c r="L440" s="105"/>
    </row>
    <row r="441">
      <c r="L441" s="105"/>
    </row>
    <row r="442">
      <c r="L442" s="105"/>
    </row>
    <row r="443">
      <c r="L443" s="105"/>
    </row>
    <row r="444">
      <c r="L444" s="105"/>
    </row>
    <row r="445">
      <c r="L445" s="105"/>
    </row>
    <row r="446">
      <c r="L446" s="105"/>
    </row>
    <row r="447">
      <c r="L447" s="105"/>
    </row>
    <row r="448">
      <c r="L448" s="105"/>
    </row>
    <row r="449">
      <c r="L449" s="105"/>
    </row>
    <row r="450">
      <c r="L450" s="105"/>
    </row>
    <row r="451">
      <c r="L451" s="105"/>
    </row>
    <row r="452">
      <c r="L452" s="105"/>
    </row>
    <row r="453">
      <c r="L453" s="105"/>
    </row>
    <row r="454">
      <c r="L454" s="105"/>
    </row>
    <row r="455">
      <c r="L455" s="105"/>
    </row>
    <row r="456">
      <c r="L456" s="105"/>
    </row>
    <row r="457">
      <c r="L457" s="105"/>
    </row>
    <row r="458">
      <c r="L458" s="105"/>
    </row>
    <row r="459">
      <c r="L459" s="105"/>
    </row>
    <row r="460">
      <c r="L460" s="105"/>
    </row>
    <row r="461">
      <c r="L461" s="105"/>
    </row>
    <row r="462">
      <c r="L462" s="105"/>
    </row>
    <row r="463">
      <c r="L463" s="105"/>
    </row>
    <row r="464">
      <c r="L464" s="105"/>
    </row>
    <row r="465">
      <c r="L465" s="105"/>
    </row>
    <row r="466">
      <c r="L466" s="105"/>
    </row>
    <row r="467">
      <c r="L467" s="105"/>
    </row>
    <row r="468">
      <c r="L468" s="105"/>
    </row>
    <row r="469">
      <c r="L469" s="105"/>
    </row>
    <row r="470">
      <c r="L470" s="105"/>
    </row>
    <row r="471">
      <c r="L471" s="105"/>
    </row>
    <row r="472">
      <c r="L472" s="105"/>
    </row>
    <row r="473">
      <c r="L473" s="105"/>
    </row>
    <row r="474">
      <c r="L474" s="105"/>
    </row>
    <row r="475">
      <c r="L475" s="105"/>
    </row>
    <row r="476">
      <c r="L476" s="105"/>
    </row>
    <row r="477">
      <c r="L477" s="105"/>
    </row>
    <row r="478">
      <c r="L478" s="105"/>
    </row>
    <row r="479">
      <c r="L479" s="105"/>
    </row>
    <row r="480">
      <c r="L480" s="105"/>
    </row>
    <row r="481">
      <c r="L481" s="105"/>
    </row>
    <row r="482">
      <c r="L482" s="105"/>
    </row>
    <row r="483">
      <c r="L483" s="105"/>
    </row>
    <row r="484">
      <c r="L484" s="105"/>
    </row>
    <row r="485">
      <c r="L485" s="105"/>
    </row>
    <row r="486">
      <c r="L486" s="105"/>
    </row>
    <row r="487">
      <c r="L487" s="105"/>
    </row>
    <row r="488">
      <c r="L488" s="105"/>
    </row>
    <row r="489">
      <c r="L489" s="105"/>
    </row>
    <row r="490">
      <c r="L490" s="105"/>
    </row>
    <row r="491">
      <c r="L491" s="105"/>
    </row>
    <row r="492">
      <c r="L492" s="105"/>
    </row>
    <row r="493">
      <c r="L493" s="105"/>
    </row>
    <row r="494">
      <c r="L494" s="105"/>
    </row>
    <row r="495">
      <c r="L495" s="105"/>
    </row>
    <row r="496">
      <c r="L496" s="105"/>
    </row>
    <row r="497">
      <c r="L497" s="105"/>
    </row>
    <row r="498">
      <c r="L498" s="105"/>
    </row>
    <row r="499">
      <c r="L499" s="105"/>
    </row>
    <row r="500">
      <c r="L500" s="105"/>
    </row>
    <row r="501">
      <c r="L501" s="105"/>
    </row>
    <row r="502">
      <c r="L502" s="105"/>
    </row>
    <row r="503">
      <c r="L503" s="105"/>
    </row>
    <row r="504">
      <c r="L504" s="105"/>
    </row>
    <row r="505">
      <c r="L505" s="105"/>
    </row>
    <row r="506">
      <c r="L506" s="105"/>
    </row>
    <row r="507">
      <c r="L507" s="105"/>
    </row>
    <row r="508">
      <c r="L508" s="105"/>
    </row>
    <row r="509">
      <c r="L509" s="105"/>
    </row>
    <row r="510">
      <c r="L510" s="105"/>
    </row>
    <row r="511">
      <c r="L511" s="105"/>
    </row>
    <row r="512">
      <c r="L512" s="105"/>
    </row>
    <row r="513">
      <c r="L513" s="105"/>
    </row>
    <row r="514">
      <c r="L514" s="105"/>
    </row>
    <row r="515">
      <c r="L515" s="105"/>
    </row>
    <row r="516">
      <c r="L516" s="105"/>
    </row>
    <row r="517">
      <c r="L517" s="105"/>
    </row>
    <row r="518">
      <c r="L518" s="105"/>
    </row>
    <row r="519">
      <c r="L519" s="105"/>
    </row>
    <row r="520">
      <c r="L520" s="105"/>
    </row>
    <row r="521">
      <c r="L521" s="105"/>
    </row>
    <row r="522">
      <c r="L522" s="105"/>
    </row>
    <row r="523">
      <c r="L523" s="105"/>
    </row>
    <row r="524">
      <c r="L524" s="105"/>
    </row>
    <row r="525">
      <c r="L525" s="105"/>
    </row>
    <row r="526">
      <c r="L526" s="105"/>
    </row>
    <row r="527">
      <c r="L527" s="105"/>
    </row>
    <row r="528">
      <c r="L528" s="105"/>
    </row>
    <row r="529">
      <c r="L529" s="105"/>
    </row>
    <row r="530">
      <c r="L530" s="105"/>
    </row>
    <row r="531">
      <c r="L531" s="105"/>
    </row>
    <row r="532">
      <c r="L532" s="105"/>
    </row>
    <row r="533">
      <c r="L533" s="105"/>
    </row>
    <row r="534">
      <c r="L534" s="105"/>
    </row>
    <row r="535">
      <c r="L535" s="105"/>
    </row>
    <row r="536">
      <c r="L536" s="105"/>
    </row>
    <row r="537">
      <c r="L537" s="105"/>
    </row>
    <row r="538">
      <c r="L538" s="105"/>
    </row>
    <row r="539">
      <c r="L539" s="105"/>
    </row>
    <row r="540">
      <c r="L540" s="105"/>
    </row>
    <row r="541">
      <c r="L541" s="105"/>
    </row>
    <row r="542">
      <c r="L542" s="105"/>
    </row>
    <row r="543">
      <c r="L543" s="105"/>
    </row>
    <row r="544">
      <c r="L544" s="105"/>
    </row>
    <row r="545">
      <c r="L545" s="105"/>
    </row>
    <row r="546">
      <c r="L546" s="105"/>
    </row>
    <row r="547">
      <c r="L547" s="105"/>
    </row>
    <row r="548">
      <c r="L548" s="105"/>
    </row>
    <row r="549">
      <c r="L549" s="105"/>
    </row>
    <row r="550">
      <c r="L550" s="105"/>
    </row>
    <row r="551">
      <c r="L551" s="105"/>
    </row>
    <row r="552">
      <c r="L552" s="105"/>
    </row>
    <row r="553">
      <c r="L553" s="105"/>
    </row>
    <row r="554">
      <c r="L554" s="105"/>
    </row>
    <row r="555">
      <c r="L555" s="105"/>
    </row>
    <row r="556">
      <c r="L556" s="105"/>
    </row>
    <row r="557">
      <c r="L557" s="105"/>
    </row>
    <row r="558">
      <c r="L558" s="105"/>
    </row>
    <row r="559">
      <c r="L559" s="105"/>
    </row>
    <row r="560">
      <c r="L560" s="105"/>
    </row>
    <row r="561">
      <c r="L561" s="105"/>
    </row>
    <row r="562">
      <c r="L562" s="105"/>
    </row>
    <row r="563">
      <c r="L563" s="105"/>
    </row>
    <row r="564">
      <c r="L564" s="105"/>
    </row>
    <row r="565">
      <c r="L565" s="105"/>
    </row>
    <row r="566">
      <c r="L566" s="105"/>
    </row>
    <row r="567">
      <c r="L567" s="105"/>
    </row>
    <row r="568">
      <c r="L568" s="105"/>
    </row>
    <row r="569">
      <c r="L569" s="105"/>
    </row>
    <row r="570">
      <c r="L570" s="105"/>
    </row>
    <row r="571">
      <c r="L571" s="105"/>
    </row>
    <row r="572">
      <c r="L572" s="105"/>
    </row>
    <row r="573">
      <c r="L573" s="105"/>
    </row>
    <row r="574">
      <c r="L574" s="105"/>
    </row>
    <row r="575">
      <c r="L575" s="105"/>
    </row>
    <row r="576">
      <c r="L576" s="105"/>
    </row>
    <row r="577">
      <c r="L577" s="105"/>
    </row>
    <row r="578">
      <c r="L578" s="105"/>
    </row>
    <row r="579">
      <c r="L579" s="105"/>
    </row>
    <row r="580">
      <c r="L580" s="105"/>
    </row>
    <row r="581">
      <c r="L581" s="105"/>
    </row>
    <row r="582">
      <c r="L582" s="105"/>
    </row>
    <row r="583">
      <c r="L583" s="105"/>
    </row>
    <row r="584">
      <c r="L584" s="105"/>
    </row>
    <row r="585">
      <c r="L585" s="105"/>
    </row>
    <row r="586">
      <c r="L586" s="105"/>
    </row>
    <row r="587">
      <c r="L587" s="105"/>
    </row>
    <row r="588">
      <c r="L588" s="105"/>
    </row>
    <row r="589">
      <c r="L589" s="105"/>
    </row>
    <row r="590">
      <c r="L590" s="105"/>
    </row>
    <row r="591">
      <c r="L591" s="105"/>
    </row>
    <row r="592">
      <c r="L592" s="105"/>
    </row>
    <row r="593">
      <c r="L593" s="105"/>
    </row>
    <row r="594">
      <c r="L594" s="105"/>
    </row>
    <row r="595">
      <c r="L595" s="105"/>
    </row>
    <row r="596">
      <c r="L596" s="105"/>
    </row>
    <row r="597">
      <c r="L597" s="105"/>
    </row>
    <row r="598">
      <c r="L598" s="105"/>
    </row>
    <row r="599">
      <c r="L599" s="105"/>
    </row>
    <row r="600">
      <c r="L600" s="105"/>
    </row>
    <row r="601">
      <c r="L601" s="105"/>
    </row>
    <row r="602">
      <c r="L602" s="105"/>
    </row>
    <row r="603">
      <c r="L603" s="105"/>
    </row>
    <row r="604">
      <c r="L604" s="105"/>
    </row>
    <row r="605">
      <c r="L605" s="105"/>
    </row>
    <row r="606">
      <c r="L606" s="105"/>
    </row>
    <row r="607">
      <c r="L607" s="105"/>
    </row>
    <row r="608">
      <c r="L608" s="105"/>
    </row>
    <row r="609">
      <c r="L609" s="105"/>
    </row>
    <row r="610">
      <c r="L610" s="105"/>
    </row>
    <row r="611">
      <c r="L611" s="105"/>
    </row>
    <row r="612">
      <c r="L612" s="105"/>
    </row>
    <row r="613">
      <c r="L613" s="105"/>
    </row>
    <row r="614">
      <c r="L614" s="105"/>
    </row>
    <row r="615">
      <c r="L615" s="105"/>
    </row>
    <row r="616">
      <c r="L616" s="105"/>
    </row>
    <row r="617">
      <c r="L617" s="105"/>
    </row>
    <row r="618">
      <c r="L618" s="105"/>
    </row>
    <row r="619">
      <c r="L619" s="105"/>
    </row>
    <row r="620">
      <c r="L620" s="105"/>
    </row>
    <row r="621">
      <c r="L621" s="105"/>
    </row>
    <row r="622">
      <c r="L622" s="105"/>
    </row>
    <row r="623">
      <c r="L623" s="105"/>
    </row>
    <row r="624">
      <c r="L624" s="105"/>
    </row>
    <row r="625">
      <c r="L625" s="105"/>
    </row>
    <row r="626">
      <c r="L626" s="105"/>
    </row>
    <row r="627">
      <c r="L627" s="105"/>
    </row>
    <row r="628">
      <c r="L628" s="105"/>
    </row>
    <row r="629">
      <c r="L629" s="105"/>
    </row>
    <row r="630">
      <c r="L630" s="105"/>
    </row>
    <row r="631">
      <c r="L631" s="105"/>
    </row>
    <row r="632">
      <c r="L632" s="105"/>
    </row>
    <row r="633">
      <c r="L633" s="105"/>
    </row>
    <row r="634">
      <c r="L634" s="105"/>
    </row>
    <row r="635">
      <c r="L635" s="105"/>
    </row>
    <row r="636">
      <c r="L636" s="105"/>
    </row>
    <row r="637">
      <c r="L637" s="105"/>
    </row>
    <row r="638">
      <c r="L638" s="105"/>
    </row>
    <row r="639">
      <c r="L639" s="105"/>
    </row>
    <row r="640">
      <c r="L640" s="105"/>
    </row>
    <row r="641">
      <c r="L641" s="105"/>
    </row>
    <row r="642">
      <c r="L642" s="105"/>
    </row>
    <row r="643">
      <c r="L643" s="105"/>
    </row>
    <row r="644">
      <c r="L644" s="105"/>
    </row>
    <row r="645">
      <c r="L645" s="105"/>
    </row>
    <row r="646">
      <c r="L646" s="105"/>
    </row>
    <row r="647">
      <c r="L647" s="105"/>
    </row>
    <row r="648">
      <c r="L648" s="105"/>
    </row>
    <row r="649">
      <c r="L649" s="105"/>
    </row>
    <row r="650">
      <c r="L650" s="105"/>
    </row>
    <row r="651">
      <c r="L651" s="105"/>
    </row>
    <row r="652">
      <c r="L652" s="105"/>
    </row>
    <row r="653">
      <c r="L653" s="105"/>
    </row>
    <row r="654">
      <c r="L654" s="105"/>
    </row>
    <row r="655">
      <c r="L655" s="105"/>
    </row>
    <row r="656">
      <c r="L656" s="105"/>
    </row>
    <row r="657">
      <c r="L657" s="105"/>
    </row>
    <row r="658">
      <c r="L658" s="105"/>
    </row>
    <row r="659">
      <c r="L659" s="105"/>
    </row>
    <row r="660">
      <c r="L660" s="105"/>
    </row>
    <row r="661">
      <c r="L661" s="105"/>
    </row>
    <row r="662">
      <c r="L662" s="105"/>
    </row>
    <row r="663">
      <c r="L663" s="105"/>
    </row>
    <row r="664">
      <c r="L664" s="105"/>
    </row>
    <row r="665">
      <c r="L665" s="105"/>
    </row>
    <row r="666">
      <c r="L666" s="105"/>
    </row>
    <row r="667">
      <c r="L667" s="105"/>
    </row>
    <row r="668">
      <c r="L668" s="105"/>
    </row>
    <row r="669">
      <c r="L669" s="105"/>
    </row>
    <row r="670">
      <c r="L670" s="105"/>
    </row>
    <row r="671">
      <c r="L671" s="105"/>
    </row>
    <row r="672">
      <c r="L672" s="105"/>
    </row>
    <row r="673">
      <c r="L673" s="105"/>
    </row>
    <row r="674">
      <c r="L674" s="105"/>
    </row>
    <row r="675">
      <c r="L675" s="105"/>
    </row>
    <row r="676">
      <c r="L676" s="105"/>
    </row>
    <row r="677">
      <c r="L677" s="105"/>
    </row>
    <row r="678">
      <c r="L678" s="105"/>
    </row>
    <row r="679">
      <c r="L679" s="105"/>
    </row>
    <row r="680">
      <c r="L680" s="105"/>
    </row>
    <row r="681">
      <c r="L681" s="105"/>
    </row>
    <row r="682">
      <c r="L682" s="105"/>
    </row>
    <row r="683">
      <c r="L683" s="105"/>
    </row>
    <row r="684">
      <c r="L684" s="105"/>
    </row>
    <row r="685">
      <c r="L685" s="105"/>
    </row>
    <row r="686">
      <c r="L686" s="105"/>
    </row>
    <row r="687">
      <c r="L687" s="105"/>
    </row>
    <row r="688">
      <c r="L688" s="105"/>
    </row>
    <row r="689">
      <c r="L689" s="105"/>
    </row>
    <row r="690">
      <c r="L690" s="105"/>
    </row>
    <row r="691">
      <c r="L691" s="105"/>
    </row>
    <row r="692">
      <c r="L692" s="105"/>
    </row>
    <row r="693">
      <c r="L693" s="105"/>
    </row>
    <row r="694">
      <c r="L694" s="105"/>
    </row>
    <row r="695">
      <c r="L695" s="105"/>
    </row>
    <row r="696">
      <c r="L696" s="105"/>
    </row>
    <row r="697">
      <c r="L697" s="105"/>
    </row>
    <row r="698">
      <c r="L698" s="105"/>
    </row>
    <row r="699">
      <c r="L699" s="105"/>
    </row>
    <row r="700">
      <c r="L700" s="105"/>
    </row>
    <row r="701">
      <c r="L701" s="105"/>
    </row>
    <row r="702">
      <c r="L702" s="105"/>
    </row>
    <row r="703">
      <c r="L703" s="105"/>
    </row>
    <row r="704">
      <c r="L704" s="105"/>
    </row>
    <row r="705">
      <c r="L705" s="105"/>
    </row>
    <row r="706">
      <c r="L706" s="105"/>
    </row>
    <row r="707">
      <c r="L707" s="105"/>
    </row>
    <row r="708">
      <c r="L708" s="105"/>
    </row>
    <row r="709">
      <c r="L709" s="105"/>
    </row>
    <row r="710">
      <c r="L710" s="105"/>
    </row>
    <row r="711">
      <c r="L711" s="105"/>
    </row>
    <row r="712">
      <c r="L712" s="105"/>
    </row>
    <row r="713">
      <c r="L713" s="105"/>
    </row>
    <row r="714">
      <c r="L714" s="105"/>
    </row>
    <row r="715">
      <c r="L715" s="105"/>
    </row>
    <row r="716">
      <c r="L716" s="105"/>
    </row>
    <row r="717">
      <c r="L717" s="105"/>
    </row>
    <row r="718">
      <c r="L718" s="105"/>
    </row>
    <row r="719">
      <c r="L719" s="105"/>
    </row>
    <row r="720">
      <c r="L720" s="105"/>
    </row>
    <row r="721">
      <c r="L721" s="105"/>
    </row>
    <row r="722">
      <c r="L722" s="105"/>
    </row>
    <row r="723">
      <c r="L723" s="105"/>
    </row>
    <row r="724">
      <c r="L724" s="105"/>
    </row>
    <row r="725">
      <c r="L725" s="105"/>
    </row>
    <row r="726">
      <c r="L726" s="105"/>
    </row>
    <row r="727">
      <c r="L727" s="105"/>
    </row>
    <row r="728">
      <c r="L728" s="105"/>
    </row>
    <row r="729">
      <c r="L729" s="105"/>
    </row>
    <row r="730">
      <c r="L730" s="105"/>
    </row>
    <row r="731">
      <c r="L731" s="105"/>
    </row>
    <row r="732">
      <c r="L732" s="105"/>
    </row>
    <row r="733">
      <c r="L733" s="105"/>
    </row>
    <row r="734">
      <c r="L734" s="105"/>
    </row>
    <row r="735">
      <c r="L735" s="105"/>
    </row>
    <row r="736">
      <c r="L736" s="105"/>
    </row>
    <row r="737">
      <c r="L737" s="105"/>
    </row>
    <row r="738">
      <c r="L738" s="105"/>
    </row>
    <row r="739">
      <c r="L739" s="105"/>
    </row>
    <row r="740">
      <c r="L740" s="105"/>
    </row>
    <row r="741">
      <c r="L741" s="105"/>
    </row>
    <row r="742">
      <c r="L742" s="105"/>
    </row>
    <row r="743">
      <c r="L743" s="105"/>
    </row>
    <row r="744">
      <c r="L744" s="105"/>
    </row>
    <row r="745">
      <c r="L745" s="105"/>
    </row>
    <row r="746">
      <c r="L746" s="105"/>
    </row>
    <row r="747">
      <c r="L747" s="105"/>
    </row>
    <row r="748">
      <c r="L748" s="105"/>
    </row>
    <row r="749">
      <c r="L749" s="105"/>
    </row>
    <row r="750">
      <c r="L750" s="105"/>
    </row>
    <row r="751">
      <c r="L751" s="105"/>
    </row>
    <row r="752">
      <c r="L752" s="105"/>
    </row>
    <row r="753">
      <c r="L753" s="105"/>
    </row>
    <row r="754">
      <c r="L754" s="105"/>
    </row>
    <row r="755">
      <c r="L755" s="105"/>
    </row>
    <row r="756">
      <c r="L756" s="105"/>
    </row>
    <row r="757">
      <c r="L757" s="105"/>
    </row>
    <row r="758">
      <c r="L758" s="105"/>
    </row>
    <row r="759">
      <c r="L759" s="105"/>
    </row>
    <row r="760">
      <c r="L760" s="105"/>
    </row>
    <row r="761">
      <c r="L761" s="105"/>
    </row>
    <row r="762">
      <c r="L762" s="105"/>
    </row>
    <row r="763">
      <c r="L763" s="105"/>
    </row>
    <row r="764">
      <c r="L764" s="105"/>
    </row>
    <row r="765">
      <c r="L765" s="105"/>
    </row>
    <row r="766">
      <c r="L766" s="105"/>
    </row>
    <row r="767">
      <c r="L767" s="105"/>
    </row>
    <row r="768">
      <c r="L768" s="105"/>
    </row>
    <row r="769">
      <c r="L769" s="105"/>
    </row>
    <row r="770">
      <c r="L770" s="105"/>
    </row>
    <row r="771">
      <c r="L771" s="105"/>
    </row>
    <row r="772">
      <c r="L772" s="105"/>
    </row>
    <row r="773">
      <c r="L773" s="105"/>
    </row>
    <row r="774">
      <c r="L774" s="105"/>
    </row>
    <row r="775">
      <c r="L775" s="105"/>
    </row>
    <row r="776">
      <c r="L776" s="105"/>
    </row>
    <row r="777">
      <c r="L777" s="105"/>
    </row>
    <row r="778">
      <c r="L778" s="105"/>
    </row>
    <row r="779">
      <c r="L779" s="105"/>
    </row>
    <row r="780">
      <c r="L780" s="105"/>
    </row>
    <row r="781">
      <c r="L781" s="105"/>
    </row>
    <row r="782">
      <c r="L782" s="105"/>
    </row>
    <row r="783">
      <c r="L783" s="105"/>
    </row>
    <row r="784">
      <c r="L784" s="105"/>
    </row>
    <row r="785">
      <c r="L785" s="105"/>
    </row>
    <row r="786">
      <c r="L786" s="105"/>
    </row>
    <row r="787">
      <c r="L787" s="105"/>
    </row>
    <row r="788">
      <c r="L788" s="105"/>
    </row>
    <row r="789">
      <c r="L789" s="105"/>
    </row>
    <row r="790">
      <c r="L790" s="105"/>
    </row>
    <row r="791">
      <c r="L791" s="105"/>
    </row>
    <row r="792">
      <c r="L792" s="105"/>
    </row>
    <row r="793">
      <c r="L793" s="105"/>
    </row>
    <row r="794">
      <c r="L794" s="105"/>
    </row>
    <row r="795">
      <c r="L795" s="105"/>
    </row>
    <row r="796">
      <c r="L796" s="105"/>
    </row>
    <row r="797">
      <c r="L797" s="105"/>
    </row>
    <row r="798">
      <c r="L798" s="105"/>
    </row>
    <row r="799">
      <c r="L799" s="105"/>
    </row>
    <row r="800">
      <c r="L800" s="105"/>
    </row>
    <row r="801">
      <c r="L801" s="105"/>
    </row>
    <row r="802">
      <c r="L802" s="105"/>
    </row>
    <row r="803">
      <c r="L803" s="105"/>
    </row>
    <row r="804">
      <c r="L804" s="105"/>
    </row>
    <row r="805">
      <c r="L805" s="105"/>
    </row>
    <row r="806">
      <c r="L806" s="105"/>
    </row>
    <row r="807">
      <c r="L807" s="105"/>
    </row>
    <row r="808">
      <c r="L808" s="105"/>
    </row>
    <row r="809">
      <c r="L809" s="105"/>
    </row>
    <row r="810">
      <c r="L810" s="105"/>
    </row>
    <row r="811">
      <c r="L811" s="105"/>
    </row>
    <row r="812">
      <c r="L812" s="105"/>
    </row>
    <row r="813">
      <c r="L813" s="105"/>
    </row>
    <row r="814">
      <c r="L814" s="105"/>
    </row>
    <row r="815">
      <c r="L815" s="105"/>
    </row>
    <row r="816">
      <c r="L816" s="105"/>
    </row>
    <row r="817">
      <c r="L817" s="105"/>
    </row>
    <row r="818">
      <c r="L818" s="105"/>
    </row>
    <row r="819">
      <c r="L819" s="105"/>
    </row>
    <row r="820">
      <c r="L820" s="105"/>
    </row>
    <row r="821">
      <c r="L821" s="105"/>
    </row>
    <row r="822">
      <c r="L822" s="105"/>
    </row>
    <row r="823">
      <c r="L823" s="105"/>
    </row>
    <row r="824">
      <c r="L824" s="105"/>
    </row>
    <row r="825">
      <c r="L825" s="105"/>
    </row>
    <row r="826">
      <c r="L826" s="105"/>
    </row>
    <row r="827">
      <c r="L827" s="105"/>
    </row>
    <row r="828">
      <c r="L828" s="105"/>
    </row>
    <row r="829">
      <c r="L829" s="105"/>
    </row>
    <row r="830">
      <c r="L830" s="105"/>
    </row>
    <row r="831">
      <c r="L831" s="105"/>
    </row>
    <row r="832">
      <c r="L832" s="105"/>
    </row>
    <row r="833">
      <c r="L833" s="105"/>
    </row>
    <row r="834">
      <c r="L834" s="105"/>
    </row>
    <row r="835">
      <c r="L835" s="105"/>
    </row>
    <row r="836">
      <c r="L836" s="105"/>
    </row>
    <row r="837">
      <c r="L837" s="105"/>
    </row>
    <row r="838">
      <c r="L838" s="105"/>
    </row>
    <row r="839">
      <c r="L839" s="105"/>
    </row>
    <row r="840">
      <c r="L840" s="105"/>
    </row>
    <row r="841">
      <c r="L841" s="105"/>
    </row>
    <row r="842">
      <c r="L842" s="105"/>
    </row>
    <row r="843">
      <c r="L843" s="105"/>
    </row>
    <row r="844">
      <c r="L844" s="105"/>
    </row>
    <row r="845">
      <c r="L845" s="105"/>
    </row>
    <row r="846">
      <c r="L846" s="105"/>
    </row>
    <row r="847">
      <c r="L847" s="105"/>
    </row>
    <row r="848">
      <c r="L848" s="105"/>
    </row>
    <row r="849">
      <c r="L849" s="105"/>
    </row>
    <row r="850">
      <c r="L850" s="105"/>
    </row>
    <row r="851">
      <c r="L851" s="105"/>
    </row>
    <row r="852">
      <c r="L852" s="105"/>
    </row>
    <row r="853">
      <c r="L853" s="105"/>
    </row>
    <row r="854">
      <c r="L854" s="105"/>
    </row>
    <row r="855">
      <c r="L855" s="105"/>
    </row>
    <row r="856">
      <c r="L856" s="105"/>
    </row>
    <row r="857">
      <c r="L857" s="105"/>
    </row>
    <row r="858">
      <c r="L858" s="105"/>
    </row>
    <row r="859">
      <c r="L859" s="105"/>
    </row>
    <row r="860">
      <c r="L860" s="105"/>
    </row>
    <row r="861">
      <c r="L861" s="105"/>
    </row>
    <row r="862">
      <c r="L862" s="105"/>
    </row>
    <row r="863">
      <c r="L863" s="105"/>
    </row>
    <row r="864">
      <c r="L864" s="105"/>
    </row>
    <row r="865">
      <c r="L865" s="105"/>
    </row>
    <row r="866">
      <c r="L866" s="105"/>
    </row>
    <row r="867">
      <c r="L867" s="105"/>
    </row>
    <row r="868">
      <c r="L868" s="105"/>
    </row>
    <row r="869">
      <c r="L869" s="105"/>
    </row>
    <row r="870">
      <c r="L870" s="105"/>
    </row>
    <row r="871">
      <c r="L871" s="105"/>
    </row>
    <row r="872">
      <c r="L872" s="105"/>
    </row>
    <row r="873">
      <c r="L873" s="105"/>
    </row>
    <row r="874">
      <c r="L874" s="105"/>
    </row>
    <row r="875">
      <c r="L875" s="105"/>
    </row>
    <row r="876">
      <c r="L876" s="105"/>
    </row>
    <row r="877">
      <c r="L877" s="105"/>
    </row>
    <row r="878">
      <c r="L878" s="105"/>
    </row>
    <row r="879">
      <c r="L879" s="105"/>
    </row>
    <row r="880">
      <c r="L880" s="105"/>
    </row>
    <row r="881">
      <c r="L881" s="105"/>
    </row>
    <row r="882">
      <c r="L882" s="105"/>
    </row>
    <row r="883">
      <c r="L883" s="105"/>
    </row>
    <row r="884">
      <c r="L884" s="105"/>
    </row>
    <row r="885">
      <c r="L885" s="105"/>
    </row>
    <row r="886">
      <c r="L886" s="105"/>
    </row>
    <row r="887">
      <c r="L887" s="105"/>
    </row>
    <row r="888">
      <c r="L888" s="105"/>
    </row>
    <row r="889">
      <c r="L889" s="105"/>
    </row>
    <row r="890">
      <c r="L890" s="105"/>
    </row>
    <row r="891">
      <c r="L891" s="105"/>
    </row>
    <row r="892">
      <c r="L892" s="105"/>
    </row>
    <row r="893">
      <c r="L893" s="105"/>
    </row>
    <row r="894">
      <c r="L894" s="105"/>
    </row>
    <row r="895">
      <c r="L895" s="105"/>
    </row>
    <row r="896">
      <c r="L896" s="105"/>
    </row>
    <row r="897">
      <c r="L897" s="105"/>
    </row>
    <row r="898">
      <c r="L898" s="105"/>
    </row>
    <row r="899">
      <c r="L899" s="105"/>
    </row>
    <row r="900">
      <c r="L900" s="105"/>
    </row>
    <row r="901">
      <c r="L901" s="105"/>
    </row>
    <row r="902">
      <c r="L902" s="105"/>
    </row>
    <row r="903">
      <c r="L903" s="105"/>
    </row>
    <row r="904">
      <c r="L904" s="105"/>
    </row>
    <row r="905">
      <c r="L905" s="105"/>
    </row>
    <row r="906">
      <c r="L906" s="105"/>
    </row>
    <row r="907">
      <c r="L907" s="105"/>
    </row>
    <row r="908">
      <c r="L908" s="105"/>
    </row>
    <row r="909">
      <c r="L909" s="105"/>
    </row>
    <row r="910">
      <c r="L910" s="105"/>
    </row>
    <row r="911">
      <c r="L911" s="105"/>
    </row>
    <row r="912">
      <c r="L912" s="105"/>
    </row>
    <row r="913">
      <c r="L913" s="105"/>
    </row>
    <row r="914">
      <c r="L914" s="105"/>
    </row>
    <row r="915">
      <c r="L915" s="105"/>
    </row>
    <row r="916">
      <c r="L916" s="105"/>
    </row>
    <row r="917">
      <c r="L917" s="105"/>
    </row>
    <row r="918">
      <c r="L918" s="105"/>
    </row>
    <row r="919">
      <c r="L919" s="105"/>
    </row>
    <row r="920">
      <c r="L920" s="105"/>
    </row>
    <row r="921">
      <c r="L921" s="105"/>
    </row>
    <row r="922">
      <c r="L922" s="105"/>
    </row>
    <row r="923">
      <c r="L923" s="105"/>
    </row>
    <row r="924">
      <c r="L924" s="105"/>
    </row>
    <row r="925">
      <c r="L925" s="105"/>
    </row>
    <row r="926">
      <c r="L926" s="105"/>
    </row>
    <row r="927">
      <c r="L927" s="105"/>
    </row>
    <row r="928">
      <c r="L928" s="105"/>
    </row>
    <row r="929">
      <c r="L929" s="105"/>
    </row>
    <row r="930">
      <c r="L930" s="105"/>
    </row>
    <row r="931">
      <c r="L931" s="105"/>
    </row>
    <row r="932">
      <c r="L932" s="105"/>
    </row>
    <row r="933">
      <c r="L933" s="105"/>
    </row>
    <row r="934">
      <c r="L934" s="105"/>
    </row>
    <row r="935">
      <c r="L935" s="105"/>
    </row>
    <row r="936">
      <c r="L936" s="105"/>
    </row>
    <row r="937">
      <c r="L937" s="105"/>
    </row>
    <row r="938">
      <c r="L938" s="105"/>
    </row>
    <row r="939">
      <c r="L939" s="105"/>
    </row>
    <row r="940">
      <c r="L940" s="105"/>
    </row>
    <row r="941">
      <c r="L941" s="105"/>
    </row>
    <row r="942">
      <c r="L942" s="105"/>
    </row>
    <row r="943">
      <c r="L943" s="105"/>
    </row>
    <row r="944">
      <c r="L944" s="105"/>
    </row>
    <row r="945">
      <c r="L945" s="105"/>
    </row>
    <row r="946">
      <c r="L946" s="105"/>
    </row>
    <row r="947">
      <c r="L947" s="105"/>
    </row>
    <row r="948">
      <c r="L948" s="105"/>
    </row>
    <row r="949">
      <c r="L949" s="105"/>
    </row>
    <row r="950">
      <c r="L950" s="105"/>
    </row>
    <row r="951">
      <c r="L951" s="105"/>
    </row>
    <row r="952">
      <c r="L952" s="105"/>
    </row>
    <row r="953">
      <c r="L953" s="105"/>
    </row>
    <row r="954">
      <c r="L954" s="105"/>
    </row>
    <row r="955">
      <c r="L955" s="105"/>
    </row>
    <row r="956">
      <c r="L956" s="105"/>
    </row>
    <row r="957">
      <c r="L957" s="105"/>
    </row>
    <row r="958">
      <c r="L958" s="105"/>
    </row>
    <row r="959">
      <c r="L959" s="105"/>
    </row>
    <row r="960">
      <c r="L960" s="105"/>
    </row>
    <row r="961">
      <c r="L961" s="105"/>
    </row>
    <row r="962">
      <c r="L962" s="105"/>
    </row>
    <row r="963">
      <c r="L963" s="105"/>
    </row>
    <row r="964">
      <c r="L964" s="105"/>
    </row>
    <row r="965">
      <c r="L965" s="105"/>
    </row>
    <row r="966">
      <c r="L966" s="105"/>
    </row>
    <row r="967">
      <c r="L967" s="105"/>
    </row>
    <row r="968">
      <c r="L968" s="105"/>
    </row>
    <row r="969">
      <c r="L969" s="105"/>
    </row>
    <row r="970">
      <c r="L970" s="105"/>
    </row>
    <row r="971">
      <c r="L971" s="105"/>
    </row>
    <row r="972">
      <c r="L972" s="105"/>
    </row>
    <row r="973">
      <c r="L973" s="105"/>
    </row>
    <row r="974">
      <c r="L974" s="105"/>
    </row>
    <row r="975">
      <c r="L975" s="105"/>
    </row>
    <row r="976">
      <c r="L976" s="105"/>
    </row>
    <row r="977">
      <c r="L977" s="105"/>
    </row>
    <row r="978">
      <c r="L978" s="105"/>
    </row>
    <row r="979">
      <c r="L979" s="105"/>
    </row>
    <row r="980">
      <c r="L980" s="105"/>
    </row>
    <row r="981">
      <c r="L981" s="105"/>
    </row>
    <row r="982">
      <c r="L982" s="105"/>
    </row>
    <row r="983">
      <c r="L983" s="105"/>
    </row>
    <row r="984">
      <c r="L984" s="105"/>
    </row>
    <row r="985">
      <c r="L985" s="105"/>
    </row>
    <row r="986">
      <c r="L986" s="105"/>
    </row>
    <row r="987">
      <c r="L987" s="105"/>
    </row>
    <row r="988">
      <c r="L988" s="105"/>
    </row>
    <row r="989">
      <c r="L989" s="105"/>
    </row>
    <row r="990">
      <c r="L990" s="105"/>
    </row>
    <row r="991">
      <c r="L991" s="105"/>
    </row>
    <row r="992">
      <c r="L992" s="105"/>
    </row>
    <row r="993">
      <c r="L993" s="105"/>
    </row>
    <row r="994">
      <c r="L994" s="105"/>
    </row>
    <row r="995">
      <c r="L995" s="105"/>
    </row>
    <row r="996">
      <c r="L996" s="105"/>
    </row>
    <row r="997">
      <c r="L997" s="105"/>
    </row>
    <row r="998">
      <c r="L998" s="105"/>
    </row>
    <row r="999">
      <c r="L999" s="105"/>
    </row>
    <row r="1000">
      <c r="L1000" s="105"/>
    </row>
  </sheetData>
  <drawing r:id="rId1"/>
</worksheet>
</file>